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65" windowWidth="20610" windowHeight="10530" activeTab="1"/>
  </bookViews>
  <sheets>
    <sheet name="WORKSHEET" sheetId="1" r:id="rId1"/>
    <sheet name="SUBMISSION SHEET" sheetId="5" r:id="rId2"/>
    <sheet name="Sheet1 (2)" sheetId="4" r:id="rId3"/>
    <sheet name="Sheet2" sheetId="2" r:id="rId4"/>
    <sheet name="Sheet3" sheetId="3" r:id="rId5"/>
  </sheets>
  <definedNames>
    <definedName name="_xlnm.Print_Area" localSheetId="2">'Sheet1 (2)'!$A$1:$H$41</definedName>
    <definedName name="_xlnm.Print_Area" localSheetId="1">'SUBMISSION SHEET'!$A$1:$H$30</definedName>
    <definedName name="_xlnm.Print_Area" localSheetId="0">WORKSHEET!$A$1:$V$56</definedName>
    <definedName name="_xlnm.Print_Titles" localSheetId="2">'Sheet1 (2)'!$9:$28</definedName>
    <definedName name="_xlnm.Print_Titles" localSheetId="1">'SUBMISSION SHEET'!$1:$18</definedName>
  </definedNames>
  <calcPr calcId="145621"/>
</workbook>
</file>

<file path=xl/calcChain.xml><?xml version="1.0" encoding="utf-8"?>
<calcChain xmlns="http://schemas.openxmlformats.org/spreadsheetml/2006/main">
  <c r="F24" i="5" l="1"/>
  <c r="E20" i="5" l="1"/>
  <c r="F20" i="5" s="1"/>
  <c r="E21" i="5"/>
  <c r="F21" i="5" s="1"/>
  <c r="E22" i="5"/>
  <c r="F22" i="5" s="1"/>
  <c r="E23" i="5"/>
  <c r="F23" i="5" s="1"/>
  <c r="E19" i="5"/>
  <c r="E16" i="1"/>
  <c r="F16" i="1"/>
  <c r="G16" i="1"/>
  <c r="J16" i="1" s="1"/>
  <c r="H16" i="1"/>
  <c r="I16" i="1"/>
  <c r="M16" i="1"/>
  <c r="E17" i="1"/>
  <c r="F17" i="1"/>
  <c r="G17" i="1"/>
  <c r="H17" i="1" s="1"/>
  <c r="E18" i="1"/>
  <c r="F18" i="1"/>
  <c r="G18" i="1" s="1"/>
  <c r="E19" i="1"/>
  <c r="F19" i="1"/>
  <c r="G19" i="1" s="1"/>
  <c r="K16" i="1" l="1"/>
  <c r="N16" i="1" s="1"/>
  <c r="O16" i="1" s="1"/>
  <c r="J19" i="1"/>
  <c r="S19" i="1"/>
  <c r="H19" i="1"/>
  <c r="M19" i="1"/>
  <c r="I19" i="1"/>
  <c r="H18" i="1"/>
  <c r="M18" i="1"/>
  <c r="I18" i="1"/>
  <c r="J18" i="1"/>
  <c r="S18" i="1"/>
  <c r="S17" i="1"/>
  <c r="J17" i="1"/>
  <c r="I17" i="1"/>
  <c r="S16" i="1"/>
  <c r="M17" i="1"/>
  <c r="E15" i="1"/>
  <c r="Q16" i="1" l="1"/>
  <c r="K17" i="1"/>
  <c r="Q17" i="1" s="1"/>
  <c r="P16" i="1"/>
  <c r="K19" i="1"/>
  <c r="Q19" i="1" s="1"/>
  <c r="K18" i="1"/>
  <c r="N18" i="1" s="1"/>
  <c r="P19" i="1"/>
  <c r="Q18" i="1"/>
  <c r="F15" i="1"/>
  <c r="G15" i="1" s="1"/>
  <c r="J15" i="1" s="1"/>
  <c r="P18" i="1" l="1"/>
  <c r="N19" i="1"/>
  <c r="O19" i="1" s="1"/>
  <c r="P17" i="1"/>
  <c r="N17" i="1"/>
  <c r="O17" i="1" s="1"/>
  <c r="O18" i="1"/>
  <c r="S15" i="1"/>
  <c r="I15" i="1"/>
  <c r="M15" i="1"/>
  <c r="H15" i="1"/>
  <c r="K15" i="1" l="1"/>
  <c r="N15" i="1" s="1"/>
  <c r="P15" i="1"/>
  <c r="Q15" i="1" l="1"/>
  <c r="O15" i="1"/>
  <c r="R15" i="1" s="1"/>
  <c r="A9" i="1"/>
  <c r="T15" i="1" l="1"/>
  <c r="U15" i="1" s="1"/>
  <c r="V15" i="1" s="1"/>
  <c r="F19" i="5" s="1"/>
  <c r="R16" i="1"/>
  <c r="R17" i="1" l="1"/>
  <c r="T16" i="1"/>
  <c r="U16" i="1" s="1"/>
  <c r="V16" i="1" s="1"/>
  <c r="R18" i="1" l="1"/>
  <c r="T17" i="1"/>
  <c r="U17" i="1" s="1"/>
  <c r="V17" i="1" s="1"/>
  <c r="E29" i="4"/>
  <c r="F29" i="4" s="1"/>
  <c r="F30" i="4" s="1"/>
  <c r="F31" i="4" s="1"/>
  <c r="F32" i="4" s="1"/>
  <c r="R19" i="1" l="1"/>
  <c r="T19" i="1" s="1"/>
  <c r="U19" i="1" s="1"/>
  <c r="V19" i="1" s="1"/>
  <c r="T18" i="1"/>
  <c r="U18" i="1" s="1"/>
  <c r="V18" i="1" s="1"/>
</calcChain>
</file>

<file path=xl/sharedStrings.xml><?xml version="1.0" encoding="utf-8"?>
<sst xmlns="http://schemas.openxmlformats.org/spreadsheetml/2006/main" count="103" uniqueCount="77">
  <si>
    <t>FOB EX WORKS</t>
  </si>
  <si>
    <t>FREIGHT</t>
  </si>
  <si>
    <t>QTY</t>
  </si>
  <si>
    <t>HS TARRIFF</t>
  </si>
  <si>
    <t>ITEM NO</t>
  </si>
  <si>
    <t>EXPORT PACKAGING (% OF FOB)</t>
  </si>
  <si>
    <t>Port Harcourt Rivers State , Nigeria</t>
  </si>
  <si>
    <t>Tel:  +234(84)360759</t>
  </si>
  <si>
    <t xml:space="preserve">Fax:  (713) 640-7478  </t>
  </si>
  <si>
    <t>Customer</t>
  </si>
  <si>
    <t>Customer RFQ#</t>
  </si>
  <si>
    <t>DESCRIPTION</t>
  </si>
  <si>
    <t>Unit Cost</t>
  </si>
  <si>
    <t>Pre Shipment Inspections ( 1% of FOB ) Statutory</t>
  </si>
  <si>
    <t>INSURANCE  (1% OF FOB)</t>
  </si>
  <si>
    <t>Custom Duty ( % Applicable HS code ) Statutory</t>
  </si>
  <si>
    <t>Custom Surcharge ( 7% of custom duty ) - Statutory)</t>
  </si>
  <si>
    <t>ETLS Charge ( 0.5% of CIF ) Statutory</t>
  </si>
  <si>
    <t>Local Mark - Up
 ( % of CIF )</t>
  </si>
  <si>
    <t>Local Cost    B</t>
  </si>
  <si>
    <t>CIF
 Foreign Cost :A</t>
  </si>
  <si>
    <t xml:space="preserve"> DDP PRICE 
A + B = C</t>
  </si>
  <si>
    <t xml:space="preserve"> F + G</t>
  </si>
  <si>
    <t>Discount</t>
  </si>
  <si>
    <t>54 Emekuku Street , D-Line</t>
  </si>
  <si>
    <t>custom vat</t>
  </si>
  <si>
    <t>1 OF 1</t>
  </si>
  <si>
    <t>The price and/or discount in this quotation are based on a complete order only.</t>
  </si>
  <si>
    <t xml:space="preserve">                                                                                         TOTAL  DDP  </t>
  </si>
  <si>
    <t>VAT  5%</t>
  </si>
  <si>
    <t>TOTAL</t>
  </si>
  <si>
    <t>EX-WORKS LOCATION</t>
  </si>
  <si>
    <t>DELIVERY</t>
  </si>
  <si>
    <t>EXT. PRICE</t>
  </si>
  <si>
    <t>UNIT PRICE</t>
  </si>
  <si>
    <t>ITEM NO.</t>
  </si>
  <si>
    <t>Customer: CHEVRON NIGERIA LTD</t>
  </si>
  <si>
    <t>QUOTATION</t>
  </si>
  <si>
    <t>AUTHORISED SIGNATURE FOR PLANT ENGINEERING</t>
  </si>
  <si>
    <t>EA</t>
  </si>
  <si>
    <t>Email:  sales@plantengrg.com</t>
  </si>
  <si>
    <t>URL:  www.plantengrg.com</t>
  </si>
  <si>
    <t xml:space="preserve">CELL:SENSOR, OXYGEN,FLEXI-DIP,Oxy
gen Sensor Cell,part # SNS-A2615-17, used with Flexi-Dip Oxygen Sensor Gauging Tape. Supplier: MMC International Corp. 60 Inip Drive, Inwood, New York 11096-0664Phone# 1-800-645-7339Fax- 1-516-371-3134. 
Man
uf Part No : SNS-A2615-17. 
Ref : JDE Symbol # 97808508 
</t>
  </si>
  <si>
    <t>Date:27/02/2014</t>
  </si>
  <si>
    <t>PENA186</t>
  </si>
  <si>
    <t>Customer RFQ#: PR21284120</t>
  </si>
  <si>
    <t>Email:   sales@plantengrg.com</t>
  </si>
  <si>
    <t>USA</t>
  </si>
  <si>
    <t>6 WEEKS</t>
  </si>
  <si>
    <t>TO:</t>
  </si>
  <si>
    <t>CUSTOMER</t>
  </si>
  <si>
    <t>CONTACT NAME</t>
  </si>
  <si>
    <t>DATE:</t>
  </si>
  <si>
    <t xml:space="preserve">QUOTATION REF NUMBER: </t>
  </si>
  <si>
    <t>UOM</t>
  </si>
  <si>
    <t>TOTAL DDP</t>
  </si>
  <si>
    <t>AUTHORISED SIGNATURE FOR PENL</t>
  </si>
  <si>
    <t>BILL TO
TOTAL</t>
  </si>
  <si>
    <t>OUR RFQ#: PEHG638</t>
  </si>
  <si>
    <t>CUSTOMER REF</t>
  </si>
  <si>
    <t>1619575
CHEMICAL, ZOK 27 DETERGENT
209L DRUM
FOR TURBINE CLEANING
MFR: ZOKMAN PRODUCTS
Manufacturer Part No : ZOK 27
Manufacturer : ZOKMAN PRODUCTS INC.</t>
  </si>
  <si>
    <t>DRUMS</t>
  </si>
  <si>
    <t>1626404
FLUID, WASH, 25 LITRES
TYPE: ZOK 27
MFR: ZOKMAN PRODUCTS INC. U.S.A
Manufacturer Part No : ZOK 27
Manufacturer : ZOKMAN PRODUCTS INC.</t>
  </si>
  <si>
    <t>1618231 
OIL, PENETRATING, WD-40
200 ML AEROSOL
Manufacturer Part No : NO PART NUMBER
Manufacturer : NO SPECIFIC MANUFACTURER</t>
  </si>
  <si>
    <t>2642271 
OIL PENETRATING
WD-40
400ML AEROSOL
Manufacturer Part No : NO PART NUMBER
Manufacturer : NO SPECIFIC MANUFACTURER</t>
  </si>
  <si>
    <t>1619516 
CHEMICAL, DISPERSANT
DISPOLENE 36S
209 LITRE DRUM
MFR: SEPPIC
Manufacturer Part No : 36S
Manufacturer : NO SPECIFIC MANUFACTURER</t>
  </si>
  <si>
    <t>Loal Handling ( 5% of CIF )</t>
  </si>
  <si>
    <t xml:space="preserve">3 WEEKS </t>
  </si>
  <si>
    <t>DELIVERY LEADTIME</t>
  </si>
  <si>
    <t>DELIVERY LOCATION</t>
  </si>
  <si>
    <t>TOTAL ONNE BASE</t>
  </si>
  <si>
    <r>
      <t xml:space="preserve">1618231 
OIL, PENETRATING, WD-40
200 ML AEROSOL
Manufacturer Part No : NO PART NUMBER
Manufacturer : NO SPECIFIC MANUFACTURER
</t>
    </r>
    <r>
      <rPr>
        <b/>
        <sz val="14"/>
        <color rgb="FFFF0000"/>
        <rFont val="Arial"/>
        <family val="2"/>
      </rPr>
      <t>PLEASE NOTE: ITEM IS NOT AVALIABLE, AWAITING QUOTE FROM THE MANUFACTURER</t>
    </r>
    <r>
      <rPr>
        <b/>
        <sz val="14"/>
        <rFont val="Arial"/>
        <family val="2"/>
      </rPr>
      <t>.</t>
    </r>
  </si>
  <si>
    <t>TOTAL E&amp;P NIGERIA LIMITED</t>
  </si>
  <si>
    <t>PRIVILEGE ADAGBONYIN</t>
  </si>
  <si>
    <t>21ST OF DEC, 2015</t>
  </si>
  <si>
    <t>PEDM1124</t>
  </si>
  <si>
    <r>
      <t xml:space="preserve">QUOTATION TERMS. 
Currency: All Prices Quoted are in </t>
    </r>
    <r>
      <rPr>
        <b/>
        <sz val="14"/>
        <color theme="1"/>
        <rFont val="Calibri"/>
        <family val="2"/>
        <scheme val="minor"/>
      </rPr>
      <t>USD</t>
    </r>
    <r>
      <rPr>
        <b/>
        <sz val="14"/>
        <color rgb="FFFF0000"/>
        <rFont val="Calibri"/>
        <family val="2"/>
        <scheme val="minor"/>
      </rPr>
      <t xml:space="preserve">
Incoterms: The incoterms used in the offer is</t>
    </r>
    <r>
      <rPr>
        <b/>
        <sz val="14"/>
        <color theme="1"/>
        <rFont val="Calibri"/>
        <family val="2"/>
        <scheme val="minor"/>
      </rPr>
      <t xml:space="preserve"> DDP</t>
    </r>
    <r>
      <rPr>
        <b/>
        <sz val="14"/>
        <color rgb="FFFF0000"/>
        <rFont val="Calibri"/>
        <family val="2"/>
        <scheme val="minor"/>
      </rPr>
      <t xml:space="preserve">
Place of Delivery: </t>
    </r>
    <r>
      <rPr>
        <b/>
        <sz val="14"/>
        <color theme="1"/>
        <rFont val="Calibri"/>
        <family val="2"/>
        <scheme val="minor"/>
      </rPr>
      <t>TOTAL, ONNE BASE, Rivers State. Nigeria.</t>
    </r>
    <r>
      <rPr>
        <b/>
        <sz val="14"/>
        <color rgb="FFFF0000"/>
        <rFont val="Calibri"/>
        <family val="2"/>
        <scheme val="minor"/>
      </rPr>
      <t xml:space="preserve">
Taxes: All Prices are </t>
    </r>
    <r>
      <rPr>
        <b/>
        <sz val="14"/>
        <color theme="1"/>
        <rFont val="Calibri"/>
        <family val="2"/>
        <scheme val="minor"/>
      </rPr>
      <t xml:space="preserve">EXCLUSIVE </t>
    </r>
    <r>
      <rPr>
        <b/>
        <sz val="14"/>
        <color rgb="FFFF0000"/>
        <rFont val="Calibri"/>
        <family val="2"/>
        <scheme val="minor"/>
      </rPr>
      <t xml:space="preserve"> of all local taxes.
Quote Validity: The validity of this offer is </t>
    </r>
    <r>
      <rPr>
        <b/>
        <sz val="14"/>
        <color theme="1"/>
        <rFont val="Calibri"/>
        <family val="2"/>
        <scheme val="minor"/>
      </rPr>
      <t>30</t>
    </r>
    <r>
      <rPr>
        <b/>
        <sz val="14"/>
        <color rgb="FFFF0000"/>
        <rFont val="Calibri"/>
        <family val="2"/>
        <scheme val="minor"/>
      </rPr>
      <t xml:space="preserve"> days from the date of the quotation.
Delivery Lead-time: </t>
    </r>
    <r>
      <rPr>
        <b/>
        <sz val="14"/>
        <color theme="1"/>
        <rFont val="Calibri"/>
        <family val="2"/>
        <scheme val="minor"/>
      </rPr>
      <t xml:space="preserve">3 </t>
    </r>
    <r>
      <rPr>
        <b/>
        <sz val="14"/>
        <color rgb="FFFF0000"/>
        <rFont val="Calibri"/>
        <family val="2"/>
        <scheme val="minor"/>
      </rPr>
      <t xml:space="preserve">weeks after receipt of an official purchase Order. Quoted lead-times are based on current OEM stocking level and subject to change.
Payment Terms: </t>
    </r>
    <r>
      <rPr>
        <b/>
        <sz val="14"/>
        <color theme="1"/>
        <rFont val="Calibri"/>
        <family val="2"/>
        <scheme val="minor"/>
      </rPr>
      <t>Customer's Payment Terms</t>
    </r>
    <r>
      <rPr>
        <b/>
        <sz val="14"/>
        <color rgb="FFFF0000"/>
        <rFont val="Calibri"/>
        <family val="2"/>
        <scheme val="minor"/>
      </rPr>
      <t xml:space="preserve">
Partial order: Prices are based on complete order only, in case of a partial offer, a review will be done and a revised offer sent
Minimum order Value: Our minimum order Value is USD 300 or it's equivalent.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</si>
</sst>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&quot;$&quot;#,##0.00"/>
    <numFmt numFmtId="168" formatCode="&quot;$&quot;0,000.00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3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sz val="24"/>
      <color theme="3"/>
      <name val="Arial"/>
      <family val="2"/>
    </font>
    <font>
      <b/>
      <sz val="18"/>
      <color rgb="FFFF0000"/>
      <name val="Arial"/>
      <family val="2"/>
    </font>
    <font>
      <b/>
      <sz val="14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5.5"/>
      <name val="Arial"/>
      <family val="2"/>
    </font>
    <font>
      <b/>
      <sz val="6.5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b/>
      <sz val="5.5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1"/>
      <color indexed="8"/>
      <name val="Calibri"/>
      <family val="2"/>
    </font>
    <font>
      <b/>
      <sz val="16"/>
      <color theme="3"/>
      <name val="Arial"/>
      <family val="2"/>
    </font>
    <font>
      <b/>
      <sz val="18"/>
      <color rgb="FF00B0F0"/>
      <name val="Arial"/>
      <family val="2"/>
    </font>
    <font>
      <b/>
      <sz val="11.5"/>
      <name val="Arial"/>
      <family val="2"/>
    </font>
    <font>
      <b/>
      <sz val="16"/>
      <color theme="8" tint="-0.249977111117893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6" fillId="0" borderId="0"/>
    <xf numFmtId="0" fontId="1" fillId="0" borderId="0"/>
    <xf numFmtId="164" fontId="1" fillId="0" borderId="0" applyFont="0" applyFill="0" applyBorder="0" applyAlignment="0" applyProtection="0"/>
  </cellStyleXfs>
  <cellXfs count="157">
    <xf numFmtId="0" fontId="0" fillId="0" borderId="0" xfId="0"/>
    <xf numFmtId="10" fontId="0" fillId="0" borderId="1" xfId="0" applyNumberFormat="1" applyBorder="1" applyAlignment="1" applyProtection="1">
      <alignment horizontal="center" vertical="top" wrapText="1"/>
    </xf>
    <xf numFmtId="0" fontId="0" fillId="0" borderId="0" xfId="0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center" vertical="top" wrapText="1"/>
    </xf>
    <xf numFmtId="10" fontId="0" fillId="0" borderId="0" xfId="0" applyNumberFormat="1" applyAlignment="1" applyProtection="1">
      <alignment horizontal="center" vertical="top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/>
    <xf numFmtId="0" fontId="0" fillId="2" borderId="0" xfId="0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/>
    <xf numFmtId="0" fontId="3" fillId="2" borderId="0" xfId="0" applyFont="1" applyFill="1"/>
    <xf numFmtId="0" fontId="14" fillId="2" borderId="0" xfId="0" applyFont="1" applyFill="1"/>
    <xf numFmtId="167" fontId="3" fillId="2" borderId="0" xfId="1" applyNumberFormat="1" applyFont="1" applyFill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6" fillId="2" borderId="0" xfId="0" applyFont="1" applyFill="1" applyAlignment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0" fillId="2" borderId="0" xfId="0" applyFill="1" applyAlignment="1" applyProtection="1">
      <alignment horizontal="center" vertical="top" wrapText="1"/>
    </xf>
    <xf numFmtId="0" fontId="15" fillId="2" borderId="0" xfId="0" applyFont="1" applyFill="1" applyAlignment="1">
      <alignment horizontal="left"/>
    </xf>
    <xf numFmtId="9" fontId="4" fillId="0" borderId="2" xfId="0" applyNumberFormat="1" applyFont="1" applyBorder="1" applyAlignment="1" applyProtection="1">
      <alignment horizontal="center" vertical="top" wrapText="1"/>
    </xf>
    <xf numFmtId="9" fontId="4" fillId="0" borderId="3" xfId="0" applyNumberFormat="1" applyFont="1" applyBorder="1" applyAlignment="1" applyProtection="1">
      <alignment horizontal="center" vertical="top" wrapText="1"/>
    </xf>
    <xf numFmtId="0" fontId="4" fillId="0" borderId="2" xfId="0" applyFont="1" applyBorder="1" applyAlignment="1" applyProtection="1">
      <alignment horizontal="center" vertical="center" wrapText="1"/>
    </xf>
    <xf numFmtId="9" fontId="0" fillId="0" borderId="2" xfId="0" applyNumberFormat="1" applyBorder="1" applyAlignment="1" applyProtection="1">
      <alignment horizontal="center" vertical="top" wrapText="1"/>
    </xf>
    <xf numFmtId="10" fontId="0" fillId="0" borderId="2" xfId="0" applyNumberFormat="1" applyBorder="1" applyAlignment="1" applyProtection="1">
      <alignment horizontal="center" vertical="top" wrapText="1"/>
    </xf>
    <xf numFmtId="10" fontId="4" fillId="0" borderId="1" xfId="0" applyNumberFormat="1" applyFont="1" applyBorder="1" applyAlignment="1" applyProtection="1">
      <alignment horizontal="center" vertical="top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top" wrapText="1"/>
    </xf>
    <xf numFmtId="9" fontId="0" fillId="0" borderId="1" xfId="0" applyNumberFormat="1" applyBorder="1" applyAlignment="1" applyProtection="1">
      <alignment horizontal="center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10" fontId="4" fillId="0" borderId="2" xfId="0" applyNumberFormat="1" applyFont="1" applyBorder="1" applyAlignment="1" applyProtection="1">
      <alignment horizontal="center" vertical="top" wrapText="1"/>
    </xf>
    <xf numFmtId="0" fontId="0" fillId="2" borderId="0" xfId="0" applyFill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 applyAlignment="1" applyProtection="1">
      <alignment horizontal="left" vertical="top"/>
    </xf>
    <xf numFmtId="0" fontId="11" fillId="2" borderId="0" xfId="0" applyFont="1" applyFill="1" applyAlignment="1" applyProtection="1">
      <alignment horizontal="center" vertical="top" wrapText="1"/>
    </xf>
    <xf numFmtId="0" fontId="11" fillId="2" borderId="0" xfId="0" applyFont="1" applyFill="1"/>
    <xf numFmtId="0" fontId="10" fillId="2" borderId="0" xfId="0" applyFont="1" applyFill="1" applyAlignment="1" applyProtection="1">
      <alignment horizontal="left" vertical="top" wrapText="1"/>
    </xf>
    <xf numFmtId="0" fontId="3" fillId="0" borderId="4" xfId="0" applyFont="1" applyBorder="1" applyAlignment="1" applyProtection="1">
      <alignment horizontal="center" vertical="center" wrapText="1"/>
    </xf>
    <xf numFmtId="0" fontId="10" fillId="2" borderId="0" xfId="0" applyFont="1" applyFill="1" applyAlignment="1" applyProtection="1">
      <alignment horizontal="left" vertical="top"/>
    </xf>
    <xf numFmtId="0" fontId="13" fillId="2" borderId="0" xfId="2" applyFill="1" applyAlignment="1"/>
    <xf numFmtId="0" fontId="16" fillId="0" borderId="2" xfId="0" applyFont="1" applyFill="1" applyBorder="1" applyAlignment="1" applyProtection="1">
      <alignment horizontal="center" vertical="center" wrapText="1"/>
      <protection locked="0"/>
    </xf>
    <xf numFmtId="9" fontId="16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Alignment="1" applyProtection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8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>
      <alignment horizontal="center"/>
    </xf>
    <xf numFmtId="0" fontId="4" fillId="2" borderId="0" xfId="0" applyNumberFormat="1" applyFont="1" applyFill="1" applyAlignment="1"/>
    <xf numFmtId="0" fontId="0" fillId="2" borderId="0" xfId="0" applyNumberFormat="1" applyFill="1" applyAlignment="1">
      <alignment horizontal="center"/>
    </xf>
    <xf numFmtId="0" fontId="0" fillId="2" borderId="0" xfId="0" applyNumberFormat="1" applyFill="1" applyAlignment="1" applyProtection="1">
      <alignment horizontal="center" vertical="top" wrapText="1"/>
      <protection locked="0"/>
    </xf>
    <xf numFmtId="0" fontId="0" fillId="2" borderId="0" xfId="0" applyNumberFormat="1" applyFill="1" applyAlignment="1" applyProtection="1">
      <alignment horizontal="center" vertical="top" wrapText="1"/>
    </xf>
    <xf numFmtId="0" fontId="11" fillId="2" borderId="0" xfId="0" applyNumberFormat="1" applyFont="1" applyFill="1" applyAlignment="1" applyProtection="1">
      <alignment horizontal="center" vertical="top" wrapText="1"/>
    </xf>
    <xf numFmtId="0" fontId="10" fillId="2" borderId="0" xfId="0" applyNumberFormat="1" applyFont="1" applyFill="1" applyAlignment="1" applyProtection="1">
      <alignment horizontal="left" vertical="top"/>
    </xf>
    <xf numFmtId="0" fontId="9" fillId="2" borderId="0" xfId="0" applyNumberFormat="1" applyFont="1" applyFill="1"/>
    <xf numFmtId="0" fontId="0" fillId="0" borderId="0" xfId="0" applyNumberFormat="1" applyAlignment="1" applyProtection="1">
      <alignment horizontal="center" vertical="top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1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68" fontId="20" fillId="0" borderId="0" xfId="0" applyNumberFormat="1" applyFont="1" applyAlignment="1">
      <alignment horizontal="left" vertical="center"/>
    </xf>
    <xf numFmtId="168" fontId="21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left" vertical="center" wrapText="1"/>
    </xf>
    <xf numFmtId="0" fontId="11" fillId="0" borderId="0" xfId="5" applyFont="1" applyFill="1" applyAlignment="1" applyProtection="1">
      <alignment horizontal="left" vertical="center"/>
      <protection locked="0"/>
    </xf>
    <xf numFmtId="0" fontId="4" fillId="0" borderId="0" xfId="5" applyFont="1" applyFill="1" applyAlignment="1" applyProtection="1">
      <alignment horizontal="left" vertical="center"/>
      <protection locked="0"/>
    </xf>
    <xf numFmtId="0" fontId="11" fillId="0" borderId="0" xfId="5" applyFont="1" applyFill="1" applyAlignment="1" applyProtection="1">
      <alignment horizontal="left" vertical="center"/>
      <protection locked="0"/>
    </xf>
    <xf numFmtId="9" fontId="1" fillId="0" borderId="2" xfId="0" applyNumberFormat="1" applyFont="1" applyBorder="1" applyAlignment="1" applyProtection="1">
      <alignment horizontal="center" vertical="top" wrapText="1"/>
    </xf>
    <xf numFmtId="164" fontId="16" fillId="0" borderId="2" xfId="1" applyFont="1" applyFill="1" applyBorder="1" applyAlignment="1" applyProtection="1">
      <alignment horizontal="center" vertical="center" wrapText="1"/>
      <protection locked="0"/>
    </xf>
    <xf numFmtId="164" fontId="16" fillId="0" borderId="2" xfId="1" applyFont="1" applyFill="1" applyBorder="1" applyAlignment="1" applyProtection="1">
      <alignment horizontal="center" vertical="top" wrapText="1"/>
      <protection locked="0"/>
    </xf>
    <xf numFmtId="164" fontId="16" fillId="0" borderId="2" xfId="1" applyFont="1" applyFill="1" applyBorder="1" applyAlignment="1" applyProtection="1">
      <alignment horizontal="center" vertical="center" wrapText="1"/>
    </xf>
    <xf numFmtId="164" fontId="12" fillId="3" borderId="4" xfId="1" applyFont="1" applyFill="1" applyBorder="1" applyAlignment="1">
      <alignment horizontal="center" vertical="center" wrapText="1"/>
    </xf>
    <xf numFmtId="164" fontId="25" fillId="4" borderId="2" xfId="1" applyFont="1" applyFill="1" applyBorder="1" applyAlignment="1">
      <alignment horizontal="center" vertical="center"/>
    </xf>
    <xf numFmtId="164" fontId="12" fillId="3" borderId="2" xfId="1" applyFont="1" applyFill="1" applyBorder="1" applyAlignment="1">
      <alignment vertical="center"/>
    </xf>
    <xf numFmtId="164" fontId="21" fillId="0" borderId="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1" fillId="0" borderId="0" xfId="5" applyFont="1" applyFill="1" applyAlignment="1" applyProtection="1">
      <alignment horizontal="left" vertical="center"/>
      <protection locked="0"/>
    </xf>
    <xf numFmtId="0" fontId="11" fillId="0" borderId="0" xfId="6" applyFont="1" applyAlignment="1">
      <alignment vertical="center"/>
    </xf>
    <xf numFmtId="0" fontId="1" fillId="0" borderId="0" xfId="6" applyAlignment="1">
      <alignment vertical="center"/>
    </xf>
    <xf numFmtId="0" fontId="28" fillId="2" borderId="0" xfId="6" applyFont="1" applyFill="1" applyAlignment="1">
      <alignment horizontal="left"/>
    </xf>
    <xf numFmtId="0" fontId="7" fillId="2" borderId="0" xfId="6" applyFont="1" applyFill="1" applyAlignment="1">
      <alignment horizontal="left"/>
    </xf>
    <xf numFmtId="0" fontId="20" fillId="0" borderId="0" xfId="6" applyFont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29" fillId="0" borderId="0" xfId="6" applyFont="1" applyAlignment="1">
      <alignment horizontal="left" vertical="center"/>
    </xf>
    <xf numFmtId="0" fontId="26" fillId="0" borderId="0" xfId="5" applyFill="1" applyAlignment="1" applyProtection="1">
      <alignment horizontal="left" vertical="center"/>
      <protection locked="0"/>
    </xf>
    <xf numFmtId="0" fontId="30" fillId="0" borderId="0" xfId="6" applyFont="1" applyAlignment="1">
      <alignment horizontal="left" vertical="center"/>
    </xf>
    <xf numFmtId="0" fontId="30" fillId="0" borderId="0" xfId="6" applyFont="1" applyAlignment="1">
      <alignment vertical="center"/>
    </xf>
    <xf numFmtId="0" fontId="6" fillId="2" borderId="0" xfId="6" applyFont="1" applyFill="1" applyAlignment="1">
      <alignment horizontal="left"/>
    </xf>
    <xf numFmtId="0" fontId="6" fillId="2" borderId="0" xfId="6" applyFont="1" applyFill="1" applyAlignment="1"/>
    <xf numFmtId="0" fontId="31" fillId="0" borderId="0" xfId="6" applyFont="1" applyAlignment="1">
      <alignment vertical="center"/>
    </xf>
    <xf numFmtId="0" fontId="21" fillId="0" borderId="2" xfId="6" applyFont="1" applyFill="1" applyBorder="1" applyAlignment="1">
      <alignment horizontal="left" vertical="center" wrapText="1"/>
    </xf>
    <xf numFmtId="0" fontId="21" fillId="0" borderId="2" xfId="6" applyFont="1" applyFill="1" applyBorder="1" applyAlignment="1">
      <alignment horizontal="center" vertical="center" wrapText="1"/>
    </xf>
    <xf numFmtId="0" fontId="1" fillId="0" borderId="0" xfId="6" applyAlignment="1">
      <alignment vertical="center" wrapText="1"/>
    </xf>
    <xf numFmtId="0" fontId="16" fillId="0" borderId="2" xfId="6" applyFont="1" applyFill="1" applyBorder="1" applyAlignment="1" applyProtection="1">
      <alignment horizontal="center" vertical="center" wrapText="1"/>
      <protection locked="0"/>
    </xf>
    <xf numFmtId="0" fontId="32" fillId="0" borderId="2" xfId="6" applyFont="1" applyBorder="1" applyAlignment="1">
      <alignment horizontal="center" vertical="center"/>
    </xf>
    <xf numFmtId="0" fontId="21" fillId="0" borderId="0" xfId="6" applyFont="1" applyFill="1" applyBorder="1" applyAlignment="1">
      <alignment horizontal="center" vertical="center" wrapText="1"/>
    </xf>
    <xf numFmtId="0" fontId="23" fillId="0" borderId="0" xfId="6" applyFont="1" applyAlignment="1">
      <alignment horizontal="left" vertical="center"/>
    </xf>
    <xf numFmtId="0" fontId="24" fillId="0" borderId="0" xfId="6" applyFont="1" applyAlignment="1">
      <alignment horizontal="left" vertical="center"/>
    </xf>
    <xf numFmtId="0" fontId="21" fillId="0" borderId="0" xfId="6" applyFont="1" applyAlignment="1">
      <alignment horizontal="center" vertical="center"/>
    </xf>
    <xf numFmtId="0" fontId="22" fillId="0" borderId="0" xfId="6" applyFont="1" applyAlignment="1">
      <alignment horizontal="left" vertical="center"/>
    </xf>
    <xf numFmtId="0" fontId="21" fillId="0" borderId="0" xfId="6" applyFont="1" applyAlignment="1">
      <alignment vertical="center"/>
    </xf>
    <xf numFmtId="0" fontId="22" fillId="0" borderId="0" xfId="6" applyFont="1" applyAlignment="1">
      <alignment horizontal="left" vertical="center" indent="1"/>
    </xf>
    <xf numFmtId="0" fontId="19" fillId="0" borderId="0" xfId="6" applyFont="1" applyAlignment="1">
      <alignment horizontal="left" vertical="center"/>
    </xf>
    <xf numFmtId="164" fontId="16" fillId="0" borderId="2" xfId="1" applyFont="1" applyFill="1" applyBorder="1" applyAlignment="1">
      <alignment horizontal="center" vertical="center" wrapText="1"/>
    </xf>
    <xf numFmtId="0" fontId="33" fillId="0" borderId="0" xfId="6" applyFont="1" applyAlignment="1">
      <alignment horizontal="center" vertical="center"/>
    </xf>
    <xf numFmtId="0" fontId="10" fillId="2" borderId="0" xfId="0" applyFont="1" applyFill="1" applyAlignment="1" applyProtection="1">
      <alignment horizontal="left" vertical="top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0" fillId="0" borderId="0" xfId="6" applyFont="1" applyAlignment="1">
      <alignment horizontal="left" vertical="center"/>
    </xf>
    <xf numFmtId="0" fontId="30" fillId="0" borderId="0" xfId="6" applyFont="1" applyAlignment="1">
      <alignment horizontal="left" vertical="center"/>
    </xf>
    <xf numFmtId="0" fontId="27" fillId="2" borderId="0" xfId="0" applyFont="1" applyFill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</xf>
    <xf numFmtId="0" fontId="18" fillId="0" borderId="4" xfId="0" applyFont="1" applyBorder="1" applyAlignment="1" applyProtection="1">
      <alignment horizontal="center" vertical="center" wrapText="1"/>
    </xf>
    <xf numFmtId="49" fontId="10" fillId="2" borderId="0" xfId="0" applyNumberFormat="1" applyFont="1" applyFill="1" applyAlignment="1" applyProtection="1">
      <alignment horizontal="center" vertical="top"/>
      <protection locked="0"/>
    </xf>
    <xf numFmtId="0" fontId="10" fillId="2" borderId="0" xfId="0" applyFont="1" applyFill="1" applyAlignment="1" applyProtection="1">
      <alignment horizontal="left" vertical="top"/>
    </xf>
    <xf numFmtId="166" fontId="5" fillId="2" borderId="0" xfId="0" applyNumberFormat="1" applyFont="1" applyFill="1" applyAlignment="1">
      <alignment horizontal="left"/>
    </xf>
    <xf numFmtId="0" fontId="3" fillId="0" borderId="2" xfId="0" applyFont="1" applyBorder="1" applyAlignment="1" applyProtection="1">
      <alignment horizontal="center" vertical="top" wrapText="1"/>
    </xf>
    <xf numFmtId="0" fontId="3" fillId="0" borderId="1" xfId="0" applyFont="1" applyBorder="1" applyAlignment="1" applyProtection="1">
      <alignment horizontal="center" vertical="top" wrapText="1"/>
    </xf>
    <xf numFmtId="0" fontId="3" fillId="0" borderId="1" xfId="0" applyNumberFormat="1" applyFont="1" applyBorder="1" applyAlignment="1" applyProtection="1">
      <alignment horizontal="center" vertical="center" wrapText="1"/>
    </xf>
    <xf numFmtId="0" fontId="3" fillId="0" borderId="3" xfId="0" applyNumberFormat="1" applyFont="1" applyBorder="1" applyAlignment="1" applyProtection="1">
      <alignment horizontal="center" vertical="center" wrapText="1"/>
    </xf>
    <xf numFmtId="0" fontId="17" fillId="2" borderId="0" xfId="0" applyFont="1" applyFill="1" applyAlignment="1" applyProtection="1">
      <alignment horizontal="left" vertical="top" wrapText="1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0" fillId="0" borderId="0" xfId="6" applyFont="1" applyAlignment="1">
      <alignment horizontal="left" vertical="center"/>
    </xf>
    <xf numFmtId="0" fontId="31" fillId="2" borderId="0" xfId="6" applyFont="1" applyFill="1" applyAlignment="1">
      <alignment horizontal="right"/>
    </xf>
    <xf numFmtId="0" fontId="31" fillId="0" borderId="0" xfId="6" applyFont="1" applyAlignment="1">
      <alignment horizontal="left" vertical="center"/>
    </xf>
    <xf numFmtId="0" fontId="30" fillId="0" borderId="0" xfId="6" applyFont="1" applyAlignment="1">
      <alignment horizontal="right" vertical="center"/>
    </xf>
    <xf numFmtId="0" fontId="21" fillId="0" borderId="0" xfId="6" applyFont="1" applyAlignment="1">
      <alignment horizontal="center" vertical="center"/>
    </xf>
    <xf numFmtId="0" fontId="33" fillId="0" borderId="0" xfId="6" applyFont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21" fillId="0" borderId="0" xfId="6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1" fillId="0" borderId="0" xfId="5" applyFont="1" applyFill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165" fontId="5" fillId="3" borderId="2" xfId="4" applyFont="1" applyFill="1" applyBorder="1" applyAlignment="1">
      <alignment horizontal="right" vertical="center"/>
    </xf>
    <xf numFmtId="1" fontId="24" fillId="4" borderId="2" xfId="0" applyNumberFormat="1" applyFont="1" applyFill="1" applyBorder="1" applyAlignment="1">
      <alignment horizontal="right" vertical="center"/>
    </xf>
    <xf numFmtId="0" fontId="21" fillId="3" borderId="7" xfId="0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right" vertical="center" wrapText="1"/>
    </xf>
    <xf numFmtId="0" fontId="21" fillId="3" borderId="5" xfId="0" applyFont="1" applyFill="1" applyBorder="1" applyAlignment="1">
      <alignment horizontal="right" vertical="center" wrapText="1"/>
    </xf>
    <xf numFmtId="0" fontId="21" fillId="5" borderId="4" xfId="6" applyFont="1" applyFill="1" applyBorder="1" applyAlignment="1">
      <alignment horizontal="right" vertical="center" wrapText="1"/>
    </xf>
    <xf numFmtId="164" fontId="12" fillId="5" borderId="4" xfId="1" applyFont="1" applyFill="1" applyBorder="1" applyAlignment="1">
      <alignment horizontal="center" vertical="center" wrapText="1"/>
    </xf>
  </cellXfs>
  <cellStyles count="8">
    <cellStyle name="Comma 2" xfId="4"/>
    <cellStyle name="Currency" xfId="1" builtinId="4"/>
    <cellStyle name="Currency 2" xfId="3"/>
    <cellStyle name="Currency 2 2" xfId="7"/>
    <cellStyle name="Hyperlink" xfId="2" builtinId="8"/>
    <cellStyle name="Normal" xfId="0" builtinId="0"/>
    <cellStyle name="Normal 2" xfId="6"/>
    <cellStyle name="Normal_Sheet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317501</xdr:colOff>
      <xdr:row>1</xdr:row>
      <xdr:rowOff>177800</xdr:rowOff>
    </xdr:from>
    <xdr:to>
      <xdr:col>16</xdr:col>
      <xdr:colOff>111126</xdr:colOff>
      <xdr:row>7</xdr:row>
      <xdr:rowOff>95250</xdr:rowOff>
    </xdr:to>
    <xdr:sp macro="" textlink="">
      <xdr:nvSpPr>
        <xdr:cNvPr id="5" name="TextBox 4"/>
        <xdr:cNvSpPr txBox="1"/>
      </xdr:nvSpPr>
      <xdr:spPr>
        <a:xfrm>
          <a:off x="10715626" y="479425"/>
          <a:ext cx="5429250" cy="1092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4000" b="1">
              <a:solidFill>
                <a:schemeClr val="accent5">
                  <a:lumMod val="75000"/>
                </a:schemeClr>
              </a:solidFill>
            </a:rPr>
            <a:t>WORKSHEET</a:t>
          </a: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4603751</xdr:colOff>
      <xdr:row>0</xdr:row>
      <xdr:rowOff>1496063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080000" cy="14960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110111</xdr:colOff>
      <xdr:row>28</xdr:row>
      <xdr:rowOff>15875</xdr:rowOff>
    </xdr:from>
    <xdr:ext cx="2067939" cy="79057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11" y="11430000"/>
          <a:ext cx="2067939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3</xdr:col>
      <xdr:colOff>4254500</xdr:colOff>
      <xdr:row>9</xdr:row>
      <xdr:rowOff>57400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19800" cy="181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288925</xdr:colOff>
      <xdr:row>37</xdr:row>
      <xdr:rowOff>454025</xdr:rowOff>
    </xdr:from>
    <xdr:ext cx="1793875" cy="685800"/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925" y="8518525"/>
          <a:ext cx="17938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8</xdr:row>
      <xdr:rowOff>63500</xdr:rowOff>
    </xdr:from>
    <xdr:to>
      <xdr:col>3</xdr:col>
      <xdr:colOff>3676650</xdr:colOff>
      <xdr:row>15</xdr:row>
      <xdr:rowOff>101600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00"/>
          <a:ext cx="5184775" cy="126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avscohoustonnigeria.com/" TargetMode="External"/><Relationship Id="rId1" Type="http://schemas.openxmlformats.org/officeDocument/2006/relationships/hyperlink" Target="mailto:daere@avscohoustonnigeria.com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view="pageBreakPreview" topLeftCell="F5" zoomScale="60" zoomScaleNormal="60" workbookViewId="0">
      <selection activeCell="S15" sqref="S15"/>
    </sheetView>
  </sheetViews>
  <sheetFormatPr defaultColWidth="13.7109375" defaultRowHeight="12.75" x14ac:dyDescent="0.2"/>
  <cols>
    <col min="1" max="1" width="7.140625" style="2" customWidth="1"/>
    <col min="2" max="2" width="105.140625" style="2" customWidth="1"/>
    <col min="3" max="3" width="8.42578125" style="55" customWidth="1"/>
    <col min="4" max="5" width="17.28515625" style="2" customWidth="1"/>
    <col min="6" max="6" width="11.42578125" style="2" customWidth="1"/>
    <col min="7" max="7" width="19.85546875" style="2" customWidth="1"/>
    <col min="8" max="8" width="16.7109375" style="2" customWidth="1"/>
    <col min="9" max="9" width="17" style="2" customWidth="1"/>
    <col min="10" max="10" width="20.42578125" style="2" customWidth="1"/>
    <col min="11" max="11" width="20" style="2" customWidth="1"/>
    <col min="12" max="13" width="15.5703125" style="2" customWidth="1"/>
    <col min="14" max="14" width="18.42578125" style="2" customWidth="1"/>
    <col min="15" max="15" width="16.28515625" style="2" customWidth="1"/>
    <col min="16" max="16" width="19.140625" style="2" customWidth="1"/>
    <col min="17" max="17" width="20.5703125" style="2" customWidth="1"/>
    <col min="18" max="18" width="21.28515625" style="2" customWidth="1"/>
    <col min="19" max="19" width="19.5703125" style="2" customWidth="1"/>
    <col min="20" max="20" width="19" style="2" customWidth="1"/>
    <col min="21" max="21" width="20.5703125" style="2" customWidth="1"/>
    <col min="22" max="22" width="25.28515625" style="2" customWidth="1"/>
    <col min="23" max="16384" width="13.7109375" style="2"/>
  </cols>
  <sheetData>
    <row r="1" spans="1:22" ht="124.5" customHeight="1" x14ac:dyDescent="0.35">
      <c r="A1" s="21"/>
      <c r="B1" s="18"/>
      <c r="C1" s="46"/>
      <c r="D1" s="19"/>
      <c r="E1" s="19"/>
      <c r="F1" s="19"/>
      <c r="G1" s="19"/>
      <c r="H1" s="19"/>
      <c r="I1" s="19"/>
      <c r="J1" s="19"/>
      <c r="K1" s="19"/>
      <c r="L1" s="6"/>
      <c r="M1" s="6"/>
      <c r="N1" s="5"/>
      <c r="O1" s="5"/>
      <c r="P1" s="6"/>
      <c r="Q1" s="6"/>
      <c r="R1" s="6"/>
      <c r="S1" s="6"/>
      <c r="T1" s="6"/>
      <c r="U1" s="6"/>
      <c r="V1" s="20"/>
    </row>
    <row r="2" spans="1:22" ht="15" x14ac:dyDescent="0.2">
      <c r="A2" s="11" t="s">
        <v>24</v>
      </c>
      <c r="B2" s="11"/>
      <c r="C2" s="47"/>
      <c r="D2" s="7"/>
      <c r="E2" s="7"/>
      <c r="F2" s="7"/>
      <c r="G2" s="7"/>
      <c r="H2" s="7"/>
      <c r="I2" s="7"/>
      <c r="J2" s="7"/>
      <c r="K2" s="7"/>
      <c r="L2" s="8"/>
      <c r="M2" s="8"/>
      <c r="N2" s="5"/>
      <c r="O2" s="5"/>
      <c r="P2" s="6"/>
      <c r="Q2" s="6"/>
      <c r="R2" s="6"/>
      <c r="S2" s="6"/>
      <c r="T2" s="6"/>
      <c r="U2" s="6"/>
      <c r="V2" s="20"/>
    </row>
    <row r="3" spans="1:22" ht="15" x14ac:dyDescent="0.2">
      <c r="A3" s="11" t="s">
        <v>6</v>
      </c>
      <c r="B3" s="11"/>
      <c r="C3" s="47"/>
      <c r="D3" s="7"/>
      <c r="E3" s="7"/>
      <c r="F3" s="7"/>
      <c r="G3" s="7"/>
      <c r="H3" s="7"/>
      <c r="I3" s="7"/>
      <c r="J3" s="7"/>
      <c r="K3" s="7"/>
      <c r="L3" s="8"/>
      <c r="M3" s="8"/>
      <c r="N3" s="5"/>
      <c r="O3" s="5"/>
      <c r="P3" s="6"/>
      <c r="Q3" s="6"/>
      <c r="R3" s="6"/>
      <c r="S3" s="6"/>
      <c r="T3" s="6"/>
      <c r="U3" s="6"/>
      <c r="V3" s="20"/>
    </row>
    <row r="4" spans="1:22" ht="15" x14ac:dyDescent="0.2">
      <c r="A4" s="11" t="s">
        <v>7</v>
      </c>
      <c r="B4" s="11"/>
      <c r="C4" s="47"/>
      <c r="D4" s="7"/>
      <c r="E4" s="7"/>
      <c r="F4" s="7"/>
      <c r="G4" s="7"/>
      <c r="H4" s="7"/>
      <c r="I4" s="7"/>
      <c r="J4" s="7"/>
      <c r="K4" s="7"/>
      <c r="L4" s="8"/>
      <c r="M4" s="8"/>
      <c r="N4" s="5"/>
      <c r="O4" s="5"/>
      <c r="P4" s="6"/>
      <c r="Q4" s="6"/>
      <c r="R4" s="6"/>
      <c r="S4" s="6"/>
      <c r="T4" s="6"/>
      <c r="U4" s="6"/>
      <c r="V4" s="20"/>
    </row>
    <row r="5" spans="1:22" ht="15" x14ac:dyDescent="0.2">
      <c r="A5" s="11" t="s">
        <v>8</v>
      </c>
      <c r="B5" s="11"/>
      <c r="C5" s="47"/>
      <c r="D5" s="7"/>
      <c r="E5" s="7"/>
      <c r="F5" s="7"/>
      <c r="G5" s="7"/>
      <c r="H5" s="7"/>
      <c r="I5" s="7"/>
      <c r="J5" s="7"/>
      <c r="K5" s="7"/>
      <c r="L5" s="8"/>
      <c r="M5" s="8"/>
      <c r="N5" s="5"/>
      <c r="O5" s="5"/>
      <c r="P5" s="6"/>
      <c r="Q5" s="6"/>
      <c r="R5" s="6"/>
      <c r="S5" s="6"/>
      <c r="T5" s="6"/>
      <c r="U5" s="6"/>
      <c r="V5" s="20"/>
    </row>
    <row r="6" spans="1:22" ht="15" x14ac:dyDescent="0.2">
      <c r="A6" s="17" t="s">
        <v>40</v>
      </c>
      <c r="B6" s="41"/>
      <c r="C6" s="48"/>
      <c r="D6" s="9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6"/>
      <c r="Q6" s="6"/>
      <c r="R6" s="6"/>
      <c r="S6" s="6"/>
      <c r="T6" s="6"/>
      <c r="U6" s="6"/>
      <c r="V6" s="20"/>
    </row>
    <row r="7" spans="1:22" ht="18" customHeight="1" x14ac:dyDescent="0.4">
      <c r="A7" s="11" t="s">
        <v>41</v>
      </c>
      <c r="B7" s="11"/>
      <c r="C7" s="47"/>
      <c r="D7" s="7"/>
      <c r="E7" s="7"/>
      <c r="F7" s="7"/>
      <c r="G7" s="7"/>
      <c r="H7" s="7"/>
      <c r="I7" s="7"/>
      <c r="J7" s="7"/>
      <c r="K7" s="7"/>
      <c r="L7" s="8"/>
      <c r="M7" s="8"/>
      <c r="N7" s="5"/>
      <c r="O7" s="5"/>
      <c r="P7" s="6"/>
      <c r="Q7" s="6"/>
      <c r="R7" s="6"/>
      <c r="S7" s="14"/>
      <c r="T7" s="6"/>
      <c r="U7" s="6"/>
      <c r="V7" s="20"/>
    </row>
    <row r="8" spans="1:22" x14ac:dyDescent="0.2">
      <c r="A8" s="10"/>
      <c r="B8" s="10"/>
      <c r="C8" s="49"/>
      <c r="D8" s="5"/>
      <c r="E8" s="5"/>
      <c r="F8" s="5"/>
      <c r="G8" s="5"/>
      <c r="H8" s="5"/>
      <c r="I8" s="5"/>
      <c r="J8" s="5"/>
      <c r="K8" s="5"/>
      <c r="L8" s="6"/>
      <c r="M8" s="6"/>
      <c r="N8" s="5"/>
      <c r="O8" s="5"/>
      <c r="P8" s="6"/>
      <c r="Q8" s="6"/>
      <c r="R8" s="6"/>
      <c r="S8" s="20"/>
      <c r="T8" s="15"/>
      <c r="U8" s="6"/>
      <c r="V8" s="20"/>
    </row>
    <row r="9" spans="1:22" ht="15.75" x14ac:dyDescent="0.25">
      <c r="A9" s="126">
        <f ca="1">TODAY()</f>
        <v>42361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6"/>
      <c r="R9" s="6"/>
      <c r="S9" s="6"/>
      <c r="T9" s="6"/>
      <c r="U9" s="6"/>
      <c r="V9" s="20"/>
    </row>
    <row r="10" spans="1:22" ht="15" x14ac:dyDescent="0.2">
      <c r="A10" s="11" t="s">
        <v>9</v>
      </c>
      <c r="B10" s="10"/>
      <c r="C10" s="49"/>
      <c r="D10" s="5"/>
      <c r="E10" s="5"/>
      <c r="F10" s="5"/>
      <c r="G10" s="5"/>
      <c r="H10" s="5"/>
      <c r="I10" s="5"/>
      <c r="J10" s="5"/>
      <c r="K10" s="5"/>
      <c r="L10" s="6"/>
      <c r="M10" s="6"/>
      <c r="N10" s="5"/>
      <c r="O10" s="5"/>
      <c r="P10" s="6"/>
      <c r="Q10" s="6"/>
      <c r="R10" s="6"/>
      <c r="S10" s="6"/>
      <c r="T10" s="6"/>
      <c r="U10" s="6"/>
      <c r="V10" s="6"/>
    </row>
    <row r="11" spans="1:22" ht="25.5" customHeight="1" x14ac:dyDescent="0.25">
      <c r="B11" s="11"/>
      <c r="C11" s="49"/>
      <c r="D11" s="5"/>
      <c r="E11" s="5"/>
      <c r="F11" s="5"/>
      <c r="G11" s="5"/>
      <c r="H11" s="5"/>
      <c r="I11" s="5"/>
      <c r="J11" s="5"/>
      <c r="K11" s="12"/>
      <c r="L11" s="5"/>
      <c r="M11" s="5"/>
      <c r="N11" s="5"/>
      <c r="O11" s="5"/>
      <c r="P11" s="13"/>
      <c r="Q11" s="6"/>
      <c r="R11" s="6"/>
      <c r="S11" s="6"/>
      <c r="T11" s="6"/>
      <c r="U11" s="121" t="s">
        <v>58</v>
      </c>
      <c r="V11" s="121"/>
    </row>
    <row r="12" spans="1:22" ht="15.75" x14ac:dyDescent="0.25">
      <c r="A12" s="11" t="s">
        <v>10</v>
      </c>
      <c r="B12" s="11"/>
      <c r="C12" s="49"/>
      <c r="D12" s="5"/>
      <c r="E12" s="5"/>
      <c r="F12" s="5"/>
      <c r="G12" s="5"/>
      <c r="H12" s="5"/>
      <c r="I12" s="5"/>
      <c r="J12" s="5"/>
      <c r="K12" s="12"/>
      <c r="L12" s="8"/>
      <c r="M12" s="8"/>
      <c r="N12" s="5"/>
      <c r="O12" s="5"/>
      <c r="Q12" s="6"/>
      <c r="R12" s="6"/>
      <c r="S12" s="6"/>
      <c r="T12" s="6"/>
      <c r="U12" s="6"/>
      <c r="V12" s="20"/>
    </row>
    <row r="13" spans="1:22" s="29" customFormat="1" ht="51" x14ac:dyDescent="0.2">
      <c r="A13" s="127" t="s">
        <v>4</v>
      </c>
      <c r="B13" s="133" t="s">
        <v>11</v>
      </c>
      <c r="C13" s="129" t="s">
        <v>2</v>
      </c>
      <c r="D13" s="135" t="s">
        <v>12</v>
      </c>
      <c r="E13" s="117"/>
      <c r="F13" s="16" t="s">
        <v>23</v>
      </c>
      <c r="G13" s="16" t="s">
        <v>0</v>
      </c>
      <c r="H13" s="16" t="s">
        <v>5</v>
      </c>
      <c r="I13" s="28" t="s">
        <v>14</v>
      </c>
      <c r="J13" s="16" t="s">
        <v>1</v>
      </c>
      <c r="K13" s="135" t="s">
        <v>20</v>
      </c>
      <c r="L13" s="16" t="s">
        <v>3</v>
      </c>
      <c r="M13" s="16" t="s">
        <v>13</v>
      </c>
      <c r="N13" s="3" t="s">
        <v>15</v>
      </c>
      <c r="O13" s="3" t="s">
        <v>16</v>
      </c>
      <c r="P13" s="16" t="s">
        <v>17</v>
      </c>
      <c r="Q13" s="16" t="s">
        <v>66</v>
      </c>
      <c r="R13" s="16" t="s">
        <v>25</v>
      </c>
      <c r="S13" s="28" t="s">
        <v>18</v>
      </c>
      <c r="T13" s="122" t="s">
        <v>19</v>
      </c>
      <c r="U13" s="28" t="s">
        <v>21</v>
      </c>
      <c r="V13" s="28" t="s">
        <v>57</v>
      </c>
    </row>
    <row r="14" spans="1:22" s="4" customFormat="1" x14ac:dyDescent="0.2">
      <c r="A14" s="128"/>
      <c r="B14" s="134"/>
      <c r="C14" s="130"/>
      <c r="D14" s="136"/>
      <c r="E14" s="118"/>
      <c r="F14" s="39"/>
      <c r="G14" s="24"/>
      <c r="H14" s="22">
        <v>0</v>
      </c>
      <c r="I14" s="23">
        <v>0</v>
      </c>
      <c r="J14" s="76">
        <v>0</v>
      </c>
      <c r="K14" s="136"/>
      <c r="L14" s="30"/>
      <c r="M14" s="25">
        <v>0</v>
      </c>
      <c r="N14" s="1"/>
      <c r="O14" s="1">
        <v>0</v>
      </c>
      <c r="P14" s="26">
        <v>0</v>
      </c>
      <c r="Q14" s="25">
        <v>0.05</v>
      </c>
      <c r="R14" s="30">
        <v>0</v>
      </c>
      <c r="S14" s="1">
        <v>0.15</v>
      </c>
      <c r="T14" s="123"/>
      <c r="U14" s="27"/>
      <c r="V14" s="32" t="s">
        <v>22</v>
      </c>
    </row>
    <row r="15" spans="1:22" s="44" customFormat="1" ht="278.25" customHeight="1" x14ac:dyDescent="0.2">
      <c r="A15" s="42">
        <v>1</v>
      </c>
      <c r="B15" s="45" t="s">
        <v>60</v>
      </c>
      <c r="C15" s="105">
        <v>4</v>
      </c>
      <c r="D15" s="77">
        <v>1440</v>
      </c>
      <c r="E15" s="77">
        <f>D15</f>
        <v>1440</v>
      </c>
      <c r="F15" s="78">
        <f t="shared" ref="F15" si="0">D15*$F$14</f>
        <v>0</v>
      </c>
      <c r="G15" s="77">
        <f>D15-F15</f>
        <v>1440</v>
      </c>
      <c r="H15" s="77">
        <f>G15*$H$14</f>
        <v>0</v>
      </c>
      <c r="I15" s="77">
        <f>G15*$I$14</f>
        <v>0</v>
      </c>
      <c r="J15" s="77">
        <f>G15*$J$14</f>
        <v>0</v>
      </c>
      <c r="K15" s="77">
        <f>SUM(G15:J15)</f>
        <v>1440</v>
      </c>
      <c r="L15" s="43">
        <v>0</v>
      </c>
      <c r="M15" s="77">
        <f>G15*$M$14</f>
        <v>0</v>
      </c>
      <c r="N15" s="79">
        <f t="shared" ref="N15" si="1">L15*K15</f>
        <v>0</v>
      </c>
      <c r="O15" s="79">
        <f>N15*$O$14</f>
        <v>0</v>
      </c>
      <c r="P15" s="77">
        <f>K15*$P$14</f>
        <v>0</v>
      </c>
      <c r="Q15" s="79">
        <f>K15*$Q$14</f>
        <v>72</v>
      </c>
      <c r="R15" s="79">
        <f>R14*(K15+M15+N15+O15+$P15)</f>
        <v>0</v>
      </c>
      <c r="S15" s="79">
        <f>G15*$S$14</f>
        <v>216</v>
      </c>
      <c r="T15" s="79">
        <f>SUM(M15:S15)</f>
        <v>288</v>
      </c>
      <c r="U15" s="79">
        <f>K15+T15</f>
        <v>1728</v>
      </c>
      <c r="V15" s="79">
        <f>U15</f>
        <v>1728</v>
      </c>
    </row>
    <row r="16" spans="1:22" s="44" customFormat="1" ht="278.25" customHeight="1" x14ac:dyDescent="0.2">
      <c r="A16" s="42"/>
      <c r="B16" s="45" t="s">
        <v>62</v>
      </c>
      <c r="C16" s="105">
        <v>11</v>
      </c>
      <c r="D16" s="77">
        <v>262</v>
      </c>
      <c r="E16" s="77">
        <f t="shared" ref="E16:E19" si="2">D16</f>
        <v>262</v>
      </c>
      <c r="F16" s="78">
        <f t="shared" ref="F16:F19" si="3">D16*$F$14</f>
        <v>0</v>
      </c>
      <c r="G16" s="77">
        <f t="shared" ref="G16:G19" si="4">D16-F16</f>
        <v>262</v>
      </c>
      <c r="H16" s="77">
        <f t="shared" ref="H16:H19" si="5">G16*$H$14</f>
        <v>0</v>
      </c>
      <c r="I16" s="77">
        <f t="shared" ref="I16:I19" si="6">G16*$I$14</f>
        <v>0</v>
      </c>
      <c r="J16" s="77">
        <f t="shared" ref="J16:J19" si="7">G16*$J$14</f>
        <v>0</v>
      </c>
      <c r="K16" s="77">
        <f t="shared" ref="K16:K19" si="8">SUM(G16:J16)</f>
        <v>262</v>
      </c>
      <c r="L16" s="43">
        <v>0</v>
      </c>
      <c r="M16" s="77">
        <f t="shared" ref="M16:M19" si="9">G16*$M$14</f>
        <v>0</v>
      </c>
      <c r="N16" s="79">
        <f t="shared" ref="N16:N19" si="10">L16*K16</f>
        <v>0</v>
      </c>
      <c r="O16" s="79">
        <f t="shared" ref="O16:O19" si="11">N16*$O$14</f>
        <v>0</v>
      </c>
      <c r="P16" s="77">
        <f t="shared" ref="P16:P19" si="12">K16*$P$14</f>
        <v>0</v>
      </c>
      <c r="Q16" s="79">
        <f t="shared" ref="Q16:Q19" si="13">K16*$Q$14</f>
        <v>13.100000000000001</v>
      </c>
      <c r="R16" s="79">
        <f t="shared" ref="R16:R19" si="14">R15*(K16+M16+N16+O16+$P16)</f>
        <v>0</v>
      </c>
      <c r="S16" s="79">
        <f t="shared" ref="S16:S19" si="15">G16*$S$14</f>
        <v>39.299999999999997</v>
      </c>
      <c r="T16" s="79">
        <f t="shared" ref="T16:T19" si="16">SUM(M16:S16)</f>
        <v>52.4</v>
      </c>
      <c r="U16" s="79">
        <f t="shared" ref="U16:U19" si="17">K16+T16</f>
        <v>314.39999999999998</v>
      </c>
      <c r="V16" s="79">
        <f t="shared" ref="V16:V19" si="18">U16</f>
        <v>314.39999999999998</v>
      </c>
    </row>
    <row r="17" spans="1:22" s="44" customFormat="1" ht="278.25" customHeight="1" x14ac:dyDescent="0.2">
      <c r="A17" s="42"/>
      <c r="B17" s="45" t="s">
        <v>63</v>
      </c>
      <c r="C17" s="105">
        <v>31</v>
      </c>
      <c r="D17" s="77"/>
      <c r="E17" s="77">
        <f t="shared" si="2"/>
        <v>0</v>
      </c>
      <c r="F17" s="78">
        <f t="shared" si="3"/>
        <v>0</v>
      </c>
      <c r="G17" s="77">
        <f t="shared" si="4"/>
        <v>0</v>
      </c>
      <c r="H17" s="77">
        <f t="shared" si="5"/>
        <v>0</v>
      </c>
      <c r="I17" s="77">
        <f t="shared" si="6"/>
        <v>0</v>
      </c>
      <c r="J17" s="77">
        <f t="shared" si="7"/>
        <v>0</v>
      </c>
      <c r="K17" s="77">
        <f t="shared" si="8"/>
        <v>0</v>
      </c>
      <c r="L17" s="43">
        <v>0</v>
      </c>
      <c r="M17" s="77">
        <f t="shared" si="9"/>
        <v>0</v>
      </c>
      <c r="N17" s="79">
        <f t="shared" si="10"/>
        <v>0</v>
      </c>
      <c r="O17" s="79">
        <f t="shared" si="11"/>
        <v>0</v>
      </c>
      <c r="P17" s="77">
        <f t="shared" si="12"/>
        <v>0</v>
      </c>
      <c r="Q17" s="79">
        <f t="shared" si="13"/>
        <v>0</v>
      </c>
      <c r="R17" s="79">
        <f t="shared" si="14"/>
        <v>0</v>
      </c>
      <c r="S17" s="79">
        <f t="shared" si="15"/>
        <v>0</v>
      </c>
      <c r="T17" s="79">
        <f t="shared" si="16"/>
        <v>0</v>
      </c>
      <c r="U17" s="79">
        <f t="shared" si="17"/>
        <v>0</v>
      </c>
      <c r="V17" s="79">
        <f t="shared" si="18"/>
        <v>0</v>
      </c>
    </row>
    <row r="18" spans="1:22" s="44" customFormat="1" ht="117" customHeight="1" x14ac:dyDescent="0.2">
      <c r="A18" s="42">
        <v>2</v>
      </c>
      <c r="B18" s="45" t="s">
        <v>64</v>
      </c>
      <c r="C18" s="105">
        <v>50</v>
      </c>
      <c r="D18" s="77">
        <v>5.33</v>
      </c>
      <c r="E18" s="77">
        <f t="shared" si="2"/>
        <v>5.33</v>
      </c>
      <c r="F18" s="78">
        <f t="shared" si="3"/>
        <v>0</v>
      </c>
      <c r="G18" s="77">
        <f t="shared" si="4"/>
        <v>5.33</v>
      </c>
      <c r="H18" s="77">
        <f t="shared" si="5"/>
        <v>0</v>
      </c>
      <c r="I18" s="77">
        <f t="shared" si="6"/>
        <v>0</v>
      </c>
      <c r="J18" s="77">
        <f t="shared" si="7"/>
        <v>0</v>
      </c>
      <c r="K18" s="77">
        <f t="shared" si="8"/>
        <v>5.33</v>
      </c>
      <c r="L18" s="43">
        <v>0</v>
      </c>
      <c r="M18" s="77">
        <f t="shared" si="9"/>
        <v>0</v>
      </c>
      <c r="N18" s="79">
        <f t="shared" si="10"/>
        <v>0</v>
      </c>
      <c r="O18" s="79">
        <f t="shared" si="11"/>
        <v>0</v>
      </c>
      <c r="P18" s="77">
        <f t="shared" si="12"/>
        <v>0</v>
      </c>
      <c r="Q18" s="79">
        <f t="shared" si="13"/>
        <v>0.26650000000000001</v>
      </c>
      <c r="R18" s="79">
        <f t="shared" si="14"/>
        <v>0</v>
      </c>
      <c r="S18" s="79">
        <f t="shared" si="15"/>
        <v>0.79949999999999999</v>
      </c>
      <c r="T18" s="79">
        <f t="shared" si="16"/>
        <v>1.0660000000000001</v>
      </c>
      <c r="U18" s="79">
        <f t="shared" si="17"/>
        <v>6.3959999999999999</v>
      </c>
      <c r="V18" s="79">
        <f t="shared" si="18"/>
        <v>6.3959999999999999</v>
      </c>
    </row>
    <row r="19" spans="1:22" s="44" customFormat="1" ht="264.75" customHeight="1" x14ac:dyDescent="0.2">
      <c r="A19" s="42">
        <v>3</v>
      </c>
      <c r="B19" s="45" t="s">
        <v>65</v>
      </c>
      <c r="C19" s="105">
        <v>4</v>
      </c>
      <c r="D19" s="77">
        <v>640.55999999999995</v>
      </c>
      <c r="E19" s="77">
        <f t="shared" si="2"/>
        <v>640.55999999999995</v>
      </c>
      <c r="F19" s="78">
        <f t="shared" si="3"/>
        <v>0</v>
      </c>
      <c r="G19" s="77">
        <f t="shared" si="4"/>
        <v>640.55999999999995</v>
      </c>
      <c r="H19" s="77">
        <f t="shared" si="5"/>
        <v>0</v>
      </c>
      <c r="I19" s="77">
        <f t="shared" si="6"/>
        <v>0</v>
      </c>
      <c r="J19" s="77">
        <f t="shared" si="7"/>
        <v>0</v>
      </c>
      <c r="K19" s="77">
        <f t="shared" si="8"/>
        <v>640.55999999999995</v>
      </c>
      <c r="L19" s="43">
        <v>0</v>
      </c>
      <c r="M19" s="77">
        <f t="shared" si="9"/>
        <v>0</v>
      </c>
      <c r="N19" s="79">
        <f t="shared" si="10"/>
        <v>0</v>
      </c>
      <c r="O19" s="79">
        <f t="shared" si="11"/>
        <v>0</v>
      </c>
      <c r="P19" s="77">
        <f t="shared" si="12"/>
        <v>0</v>
      </c>
      <c r="Q19" s="79">
        <f t="shared" si="13"/>
        <v>32.027999999999999</v>
      </c>
      <c r="R19" s="79">
        <f t="shared" si="14"/>
        <v>0</v>
      </c>
      <c r="S19" s="79">
        <f t="shared" si="15"/>
        <v>96.083999999999989</v>
      </c>
      <c r="T19" s="79">
        <f t="shared" si="16"/>
        <v>128.11199999999999</v>
      </c>
      <c r="U19" s="79">
        <f t="shared" si="17"/>
        <v>768.67199999999991</v>
      </c>
      <c r="V19" s="79">
        <f t="shared" si="18"/>
        <v>768.67199999999991</v>
      </c>
    </row>
    <row r="20" spans="1:22" x14ac:dyDescent="0.2">
      <c r="A20" s="31"/>
      <c r="B20" s="31"/>
      <c r="C20" s="5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20"/>
      <c r="O20" s="20"/>
      <c r="P20" s="31"/>
      <c r="Q20" s="20"/>
      <c r="R20" s="20"/>
      <c r="S20" s="20"/>
      <c r="T20" s="20"/>
      <c r="U20" s="20"/>
      <c r="V20" s="20"/>
    </row>
    <row r="21" spans="1:22" x14ac:dyDescent="0.2">
      <c r="A21" s="132"/>
      <c r="B21" s="132"/>
      <c r="C21" s="132"/>
      <c r="D21" s="132"/>
      <c r="E21" s="132"/>
      <c r="F21" s="132"/>
      <c r="G21" s="132"/>
      <c r="H21" s="31"/>
      <c r="I21" s="31"/>
      <c r="J21" s="31"/>
      <c r="K21" s="31"/>
      <c r="L21" s="31"/>
      <c r="M21" s="31"/>
      <c r="N21" s="20"/>
      <c r="O21" s="20"/>
      <c r="P21" s="31"/>
      <c r="Q21" s="20"/>
      <c r="R21" s="20"/>
      <c r="S21" s="20"/>
      <c r="T21" s="20"/>
      <c r="U21" s="20"/>
      <c r="V21" s="20"/>
    </row>
    <row r="22" spans="1:22" x14ac:dyDescent="0.2">
      <c r="A22" s="132"/>
      <c r="B22" s="132"/>
      <c r="C22" s="132"/>
      <c r="D22" s="132"/>
      <c r="E22" s="132"/>
      <c r="F22" s="132"/>
      <c r="G22" s="132"/>
      <c r="H22" s="31"/>
      <c r="I22" s="31"/>
      <c r="J22" s="31"/>
      <c r="K22" s="31"/>
      <c r="L22" s="31"/>
      <c r="M22" s="31"/>
      <c r="N22" s="20"/>
      <c r="O22" s="20"/>
      <c r="P22" s="31"/>
      <c r="Q22" s="20"/>
      <c r="R22" s="20"/>
      <c r="S22" s="20"/>
      <c r="T22" s="20"/>
      <c r="U22" s="20"/>
      <c r="V22" s="20"/>
    </row>
    <row r="23" spans="1:22" x14ac:dyDescent="0.2">
      <c r="A23" s="132"/>
      <c r="B23" s="132"/>
      <c r="C23" s="132"/>
      <c r="D23" s="132"/>
      <c r="E23" s="132"/>
      <c r="F23" s="132"/>
      <c r="G23" s="132"/>
      <c r="H23" s="31"/>
      <c r="I23" s="31"/>
      <c r="J23" s="31"/>
      <c r="K23" s="31"/>
      <c r="L23" s="31"/>
      <c r="M23" s="31"/>
      <c r="N23" s="20"/>
      <c r="O23" s="20"/>
      <c r="P23" s="31"/>
      <c r="Q23" s="20"/>
      <c r="R23" s="20"/>
      <c r="S23" s="20"/>
      <c r="T23" s="20"/>
      <c r="U23" s="20"/>
      <c r="V23" s="20"/>
    </row>
    <row r="24" spans="1:22" x14ac:dyDescent="0.2">
      <c r="A24" s="132"/>
      <c r="B24" s="132"/>
      <c r="C24" s="132"/>
      <c r="D24" s="132"/>
      <c r="E24" s="132"/>
      <c r="F24" s="132"/>
      <c r="G24" s="132"/>
      <c r="H24" s="31"/>
      <c r="I24" s="31"/>
      <c r="J24" s="31"/>
      <c r="K24" s="31"/>
      <c r="L24" s="31"/>
      <c r="M24" s="31"/>
      <c r="N24" s="20"/>
      <c r="O24" s="20"/>
      <c r="P24" s="31"/>
      <c r="Q24" s="20"/>
      <c r="R24" s="20"/>
      <c r="S24" s="20"/>
      <c r="T24" s="20"/>
      <c r="U24" s="20"/>
      <c r="V24" s="20"/>
    </row>
    <row r="25" spans="1:22" x14ac:dyDescent="0.2">
      <c r="A25" s="132"/>
      <c r="B25" s="132"/>
      <c r="C25" s="132"/>
      <c r="D25" s="132"/>
      <c r="E25" s="132"/>
      <c r="F25" s="132"/>
      <c r="G25" s="132"/>
      <c r="H25" s="31"/>
      <c r="I25" s="31"/>
      <c r="J25" s="31"/>
      <c r="K25" s="31"/>
      <c r="L25" s="31"/>
      <c r="M25" s="31"/>
      <c r="N25" s="20"/>
      <c r="O25" s="20"/>
      <c r="P25" s="31"/>
      <c r="Q25" s="20"/>
      <c r="R25" s="20"/>
      <c r="S25" s="20"/>
      <c r="T25" s="20"/>
      <c r="U25" s="20"/>
      <c r="V25" s="20"/>
    </row>
    <row r="26" spans="1:22" ht="18.75" customHeight="1" x14ac:dyDescent="0.2">
      <c r="A26" s="132"/>
      <c r="B26" s="132"/>
      <c r="C26" s="132"/>
      <c r="D26" s="132"/>
      <c r="E26" s="132"/>
      <c r="F26" s="132"/>
      <c r="G26" s="132"/>
      <c r="H26" s="31"/>
      <c r="I26" s="31"/>
      <c r="J26" s="31"/>
      <c r="K26" s="31"/>
      <c r="L26" s="31"/>
      <c r="M26" s="31"/>
      <c r="N26" s="20"/>
      <c r="O26" s="20"/>
      <c r="P26" s="31"/>
      <c r="Q26" s="20"/>
      <c r="R26" s="20"/>
      <c r="S26" s="20"/>
      <c r="T26" s="20"/>
      <c r="U26" s="20"/>
      <c r="V26" s="20"/>
    </row>
    <row r="27" spans="1:22" x14ac:dyDescent="0.2">
      <c r="A27" s="132"/>
      <c r="B27" s="132"/>
      <c r="C27" s="132"/>
      <c r="D27" s="132"/>
      <c r="E27" s="132"/>
      <c r="F27" s="132"/>
      <c r="G27" s="132"/>
      <c r="H27" s="31"/>
      <c r="I27" s="31"/>
      <c r="J27" s="31"/>
      <c r="K27" s="31"/>
      <c r="L27" s="31"/>
      <c r="M27" s="31"/>
      <c r="N27" s="20"/>
      <c r="O27" s="20"/>
      <c r="P27" s="31"/>
      <c r="Q27" s="20"/>
      <c r="R27" s="20"/>
      <c r="S27" s="20"/>
      <c r="T27" s="20"/>
      <c r="U27" s="20"/>
      <c r="V27" s="20"/>
    </row>
    <row r="28" spans="1:22" x14ac:dyDescent="0.2">
      <c r="A28" s="31"/>
      <c r="B28" s="31"/>
      <c r="C28" s="5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20"/>
      <c r="O28" s="20"/>
      <c r="P28" s="31"/>
      <c r="Q28" s="20"/>
      <c r="R28" s="20"/>
      <c r="S28" s="20"/>
      <c r="T28" s="20"/>
      <c r="U28" s="20"/>
      <c r="V28" s="20"/>
    </row>
    <row r="29" spans="1:22" x14ac:dyDescent="0.2">
      <c r="A29" s="31"/>
      <c r="B29" s="31"/>
      <c r="C29" s="5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20"/>
      <c r="O29" s="20"/>
      <c r="P29" s="31"/>
      <c r="Q29" s="20"/>
      <c r="R29" s="20"/>
      <c r="S29" s="20"/>
      <c r="T29" s="20"/>
      <c r="U29" s="20"/>
      <c r="V29" s="20"/>
    </row>
    <row r="30" spans="1:22" x14ac:dyDescent="0.2">
      <c r="A30" s="31"/>
      <c r="B30" s="31"/>
      <c r="C30" s="50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20"/>
      <c r="O30" s="20"/>
      <c r="P30" s="31"/>
      <c r="Q30" s="20"/>
      <c r="R30" s="20"/>
      <c r="S30" s="20"/>
      <c r="T30" s="20"/>
      <c r="U30" s="20"/>
      <c r="V30" s="20"/>
    </row>
    <row r="31" spans="1:22" x14ac:dyDescent="0.2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20"/>
      <c r="O31" s="20"/>
      <c r="P31" s="20"/>
      <c r="Q31" s="20"/>
      <c r="R31" s="20"/>
      <c r="S31" s="20"/>
      <c r="T31" s="20"/>
      <c r="U31" s="20"/>
      <c r="V31" s="20"/>
    </row>
    <row r="32" spans="1:22" x14ac:dyDescent="0.2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20"/>
      <c r="O32" s="20"/>
      <c r="P32" s="20"/>
      <c r="Q32" s="20"/>
      <c r="R32" s="20"/>
      <c r="S32" s="20"/>
      <c r="T32" s="20"/>
      <c r="U32" s="20"/>
      <c r="V32" s="20"/>
    </row>
    <row r="33" spans="1:22" x14ac:dyDescent="0.2">
      <c r="A33" s="20"/>
      <c r="B33" s="20"/>
      <c r="C33" s="5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8.75" customHeight="1" x14ac:dyDescent="0.2">
      <c r="A34" s="125"/>
      <c r="B34" s="125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6"/>
      <c r="P34" s="6"/>
      <c r="Q34" s="6"/>
      <c r="R34" s="6"/>
      <c r="S34" s="33"/>
      <c r="T34" s="20"/>
      <c r="U34" s="20"/>
      <c r="V34" s="20"/>
    </row>
    <row r="35" spans="1:22" ht="14.25" x14ac:dyDescent="0.2">
      <c r="A35" s="35"/>
      <c r="B35" s="36"/>
      <c r="C35" s="52"/>
      <c r="D35" s="36"/>
      <c r="E35" s="36"/>
      <c r="F35" s="36"/>
      <c r="G35" s="37"/>
      <c r="H35" s="37"/>
      <c r="I35" s="37"/>
      <c r="J35" s="37"/>
      <c r="K35" s="37"/>
      <c r="L35" s="37"/>
      <c r="M35" s="37"/>
      <c r="N35" s="37"/>
      <c r="O35" s="6"/>
      <c r="P35" s="6"/>
      <c r="Q35" s="6"/>
      <c r="R35" s="6"/>
      <c r="S35" s="33"/>
      <c r="T35" s="20"/>
      <c r="U35" s="20"/>
      <c r="V35" s="20"/>
    </row>
    <row r="36" spans="1:22" ht="14.25" x14ac:dyDescent="0.2">
      <c r="A36" s="35"/>
      <c r="B36" s="36"/>
      <c r="C36" s="53"/>
      <c r="D36" s="35"/>
      <c r="E36" s="116"/>
      <c r="F36" s="40"/>
      <c r="G36" s="37"/>
      <c r="H36" s="37"/>
      <c r="I36" s="37"/>
      <c r="J36" s="37"/>
      <c r="K36" s="37"/>
      <c r="L36" s="37"/>
      <c r="M36" s="37"/>
      <c r="N36" s="37"/>
      <c r="O36" s="6"/>
      <c r="P36" s="6"/>
      <c r="Q36" s="6"/>
      <c r="R36" s="6"/>
      <c r="S36" s="33"/>
      <c r="T36" s="20"/>
      <c r="U36" s="20"/>
      <c r="V36" s="20"/>
    </row>
    <row r="37" spans="1:22" ht="14.25" x14ac:dyDescent="0.2">
      <c r="A37" s="35"/>
      <c r="B37" s="36"/>
      <c r="C37" s="52"/>
      <c r="D37" s="36"/>
      <c r="E37" s="36"/>
      <c r="F37" s="36"/>
      <c r="G37" s="37"/>
      <c r="H37" s="37"/>
      <c r="I37" s="37"/>
      <c r="J37" s="37"/>
      <c r="K37" s="37"/>
      <c r="L37" s="37"/>
      <c r="M37" s="37"/>
      <c r="N37" s="37"/>
      <c r="O37" s="6"/>
      <c r="P37" s="6"/>
      <c r="Q37" s="6"/>
      <c r="R37" s="6"/>
      <c r="S37" s="33"/>
      <c r="T37" s="20"/>
      <c r="U37" s="20"/>
      <c r="V37" s="20"/>
    </row>
    <row r="38" spans="1:22" ht="14.25" x14ac:dyDescent="0.2">
      <c r="A38" s="35"/>
      <c r="B38" s="36"/>
      <c r="C38" s="53"/>
      <c r="D38" s="35"/>
      <c r="E38" s="116"/>
      <c r="F38" s="40"/>
      <c r="G38" s="37"/>
      <c r="H38" s="37"/>
      <c r="I38" s="37"/>
      <c r="J38" s="37"/>
      <c r="K38" s="37"/>
      <c r="L38" s="37"/>
      <c r="M38" s="37"/>
      <c r="N38" s="37"/>
      <c r="O38" s="6"/>
      <c r="P38" s="6"/>
      <c r="Q38" s="6"/>
      <c r="R38" s="6"/>
      <c r="S38" s="33"/>
      <c r="T38" s="20"/>
      <c r="U38" s="20"/>
      <c r="V38" s="20"/>
    </row>
    <row r="39" spans="1:22" ht="14.25" x14ac:dyDescent="0.2">
      <c r="A39" s="35"/>
      <c r="B39" s="36"/>
      <c r="C39" s="52"/>
      <c r="D39" s="36"/>
      <c r="E39" s="36"/>
      <c r="F39" s="36"/>
      <c r="G39" s="37"/>
      <c r="H39" s="37"/>
      <c r="I39" s="37"/>
      <c r="J39" s="37"/>
      <c r="K39" s="37"/>
      <c r="L39" s="37"/>
      <c r="M39" s="37"/>
      <c r="N39" s="37"/>
      <c r="O39" s="6"/>
      <c r="P39" s="6"/>
      <c r="Q39" s="6"/>
      <c r="R39" s="6"/>
      <c r="S39" s="33"/>
      <c r="T39" s="20"/>
      <c r="U39" s="20"/>
      <c r="V39" s="20"/>
    </row>
    <row r="40" spans="1:22" ht="14.25" x14ac:dyDescent="0.2">
      <c r="A40" s="35"/>
      <c r="B40" s="35"/>
      <c r="C40" s="53"/>
      <c r="D40" s="35"/>
      <c r="E40" s="116"/>
      <c r="F40" s="40"/>
      <c r="G40" s="37"/>
      <c r="H40" s="37"/>
      <c r="I40" s="37"/>
      <c r="J40" s="37"/>
      <c r="K40" s="37"/>
      <c r="L40" s="37"/>
      <c r="M40" s="37"/>
      <c r="N40" s="37"/>
      <c r="O40" s="6"/>
      <c r="P40" s="6"/>
      <c r="Q40" s="6"/>
      <c r="R40" s="6"/>
      <c r="S40" s="33"/>
      <c r="T40" s="20"/>
      <c r="U40" s="20"/>
      <c r="V40" s="20"/>
    </row>
    <row r="41" spans="1:22" ht="14.25" x14ac:dyDescent="0.2">
      <c r="A41" s="38"/>
      <c r="B41" s="35"/>
      <c r="C41" s="53"/>
      <c r="D41" s="35"/>
      <c r="E41" s="116"/>
      <c r="F41" s="40"/>
      <c r="G41" s="37"/>
      <c r="H41" s="37"/>
      <c r="I41" s="37"/>
      <c r="J41" s="37"/>
      <c r="K41" s="37"/>
      <c r="L41" s="37"/>
      <c r="M41" s="37"/>
      <c r="N41" s="37"/>
      <c r="O41" s="6"/>
      <c r="P41" s="6"/>
      <c r="Q41" s="6"/>
      <c r="R41" s="6"/>
      <c r="S41" s="33"/>
      <c r="T41" s="20"/>
      <c r="U41" s="20"/>
      <c r="V41" s="20"/>
    </row>
    <row r="42" spans="1:22" ht="14.25" x14ac:dyDescent="0.2">
      <c r="A42" s="38"/>
      <c r="B42" s="35"/>
      <c r="C42" s="53"/>
      <c r="D42" s="35"/>
      <c r="E42" s="116"/>
      <c r="F42" s="40"/>
      <c r="G42" s="37"/>
      <c r="H42" s="37"/>
      <c r="I42" s="37"/>
      <c r="J42" s="37"/>
      <c r="K42" s="37"/>
      <c r="L42" s="37"/>
      <c r="M42" s="37"/>
      <c r="N42" s="37"/>
      <c r="O42" s="6"/>
      <c r="P42" s="6"/>
      <c r="Q42" s="6"/>
      <c r="R42" s="6"/>
      <c r="S42" s="33"/>
      <c r="T42" s="20"/>
      <c r="U42" s="20"/>
      <c r="V42" s="20"/>
    </row>
    <row r="43" spans="1:22" ht="14.25" x14ac:dyDescent="0.2">
      <c r="A43" s="38"/>
      <c r="B43" s="35"/>
      <c r="C43" s="53"/>
      <c r="D43" s="35"/>
      <c r="E43" s="116"/>
      <c r="F43" s="40"/>
      <c r="G43" s="37"/>
      <c r="H43" s="37"/>
      <c r="I43" s="37"/>
      <c r="J43" s="37"/>
      <c r="K43" s="37"/>
      <c r="L43" s="37"/>
      <c r="M43" s="37"/>
      <c r="N43" s="37"/>
      <c r="O43" s="6"/>
      <c r="P43" s="6"/>
      <c r="Q43" s="6"/>
      <c r="R43" s="6"/>
      <c r="S43" s="33"/>
      <c r="T43" s="20"/>
      <c r="U43" s="20"/>
      <c r="V43" s="20"/>
    </row>
    <row r="44" spans="1:22" ht="14.25" x14ac:dyDescent="0.2">
      <c r="A44" s="38"/>
      <c r="B44" s="35"/>
      <c r="C44" s="53"/>
      <c r="D44" s="35"/>
      <c r="E44" s="116"/>
      <c r="F44" s="40"/>
      <c r="G44" s="37"/>
      <c r="H44" s="37"/>
      <c r="I44" s="37"/>
      <c r="J44" s="37"/>
      <c r="K44" s="37"/>
      <c r="L44" s="37"/>
      <c r="M44" s="37"/>
      <c r="N44" s="37"/>
      <c r="O44" s="6"/>
      <c r="P44" s="6"/>
      <c r="Q44" s="6"/>
      <c r="R44" s="6"/>
      <c r="S44" s="33"/>
      <c r="T44" s="20"/>
      <c r="U44" s="20"/>
      <c r="V44" s="20"/>
    </row>
    <row r="45" spans="1:22" ht="14.25" x14ac:dyDescent="0.2">
      <c r="A45" s="38"/>
      <c r="B45" s="35"/>
      <c r="C45" s="53"/>
      <c r="D45" s="35"/>
      <c r="E45" s="116"/>
      <c r="F45" s="40"/>
      <c r="G45" s="37"/>
      <c r="H45" s="37"/>
      <c r="I45" s="37"/>
      <c r="J45" s="37"/>
      <c r="K45" s="37"/>
      <c r="L45" s="37"/>
      <c r="M45" s="37"/>
      <c r="N45" s="37"/>
      <c r="O45" s="6"/>
      <c r="P45" s="6"/>
      <c r="Q45" s="6"/>
      <c r="R45" s="6"/>
      <c r="S45" s="33"/>
      <c r="T45" s="20"/>
      <c r="U45" s="20"/>
      <c r="V45" s="20"/>
    </row>
    <row r="46" spans="1:22" ht="14.25" x14ac:dyDescent="0.2">
      <c r="A46" s="38"/>
      <c r="B46" s="35"/>
      <c r="C46" s="53"/>
      <c r="D46" s="35"/>
      <c r="E46" s="116"/>
      <c r="F46" s="40"/>
      <c r="G46" s="37"/>
      <c r="H46" s="37"/>
      <c r="I46" s="37"/>
      <c r="J46" s="37"/>
      <c r="K46" s="37"/>
      <c r="L46" s="37"/>
      <c r="M46" s="37"/>
      <c r="N46" s="37"/>
      <c r="O46" s="6"/>
      <c r="P46" s="6"/>
      <c r="Q46" s="6"/>
      <c r="R46" s="6"/>
      <c r="S46" s="33"/>
      <c r="T46" s="20"/>
      <c r="U46" s="20"/>
      <c r="V46" s="20"/>
    </row>
    <row r="47" spans="1:22" ht="14.25" x14ac:dyDescent="0.2">
      <c r="A47" s="38"/>
      <c r="B47" s="35"/>
      <c r="C47" s="53"/>
      <c r="D47" s="35"/>
      <c r="E47" s="116"/>
      <c r="F47" s="40"/>
      <c r="G47" s="37"/>
      <c r="H47" s="37"/>
      <c r="I47" s="37"/>
      <c r="J47" s="37"/>
      <c r="K47" s="37"/>
      <c r="L47" s="37"/>
      <c r="M47" s="37"/>
      <c r="N47" s="37"/>
      <c r="O47" s="6"/>
      <c r="P47" s="6"/>
      <c r="Q47" s="6"/>
      <c r="R47" s="6"/>
      <c r="S47" s="33"/>
      <c r="T47" s="20"/>
      <c r="U47" s="20"/>
      <c r="V47" s="20"/>
    </row>
    <row r="48" spans="1:22" ht="14.25" x14ac:dyDescent="0.2">
      <c r="A48" s="38"/>
      <c r="B48" s="35"/>
      <c r="C48" s="53"/>
      <c r="D48" s="35"/>
      <c r="E48" s="116"/>
      <c r="F48" s="40"/>
      <c r="G48" s="37"/>
      <c r="H48" s="37"/>
      <c r="I48" s="37"/>
      <c r="J48" s="37"/>
      <c r="K48" s="37"/>
      <c r="L48" s="37"/>
      <c r="M48" s="37"/>
      <c r="N48" s="37"/>
      <c r="O48" s="6"/>
      <c r="P48" s="6"/>
      <c r="Q48" s="6"/>
      <c r="R48" s="6"/>
      <c r="S48" s="33"/>
      <c r="T48" s="20"/>
      <c r="U48" s="20"/>
      <c r="V48" s="20"/>
    </row>
    <row r="49" spans="1:22" ht="14.25" x14ac:dyDescent="0.2">
      <c r="A49" s="38"/>
      <c r="B49" s="35"/>
      <c r="C49" s="53"/>
      <c r="D49" s="35"/>
      <c r="E49" s="116"/>
      <c r="F49" s="40"/>
      <c r="G49" s="37"/>
      <c r="H49" s="37"/>
      <c r="I49" s="37"/>
      <c r="J49" s="37"/>
      <c r="K49" s="37"/>
      <c r="L49" s="37"/>
      <c r="M49" s="37"/>
      <c r="N49" s="37"/>
      <c r="O49" s="6"/>
      <c r="P49" s="6"/>
      <c r="Q49" s="6"/>
      <c r="R49" s="6"/>
      <c r="S49" s="33"/>
      <c r="T49" s="20"/>
      <c r="U49" s="20"/>
      <c r="V49" s="20"/>
    </row>
    <row r="50" spans="1:22" ht="14.25" x14ac:dyDescent="0.2">
      <c r="A50" s="38"/>
      <c r="B50" s="35"/>
      <c r="C50" s="53"/>
      <c r="D50" s="35"/>
      <c r="E50" s="116"/>
      <c r="F50" s="40"/>
      <c r="G50" s="37"/>
      <c r="H50" s="37"/>
      <c r="I50" s="37"/>
      <c r="J50" s="37"/>
      <c r="K50" s="37"/>
      <c r="L50" s="37"/>
      <c r="M50" s="37"/>
      <c r="N50" s="37"/>
      <c r="O50" s="6"/>
      <c r="P50" s="6"/>
      <c r="Q50" s="6"/>
      <c r="R50" s="6"/>
      <c r="S50" s="33"/>
      <c r="T50" s="20"/>
      <c r="U50" s="20"/>
      <c r="V50" s="20"/>
    </row>
    <row r="51" spans="1:22" ht="14.25" x14ac:dyDescent="0.2">
      <c r="A51" s="38"/>
      <c r="B51" s="35"/>
      <c r="C51" s="53"/>
      <c r="D51" s="35"/>
      <c r="E51" s="116"/>
      <c r="F51" s="40"/>
      <c r="G51" s="37"/>
      <c r="H51" s="37"/>
      <c r="I51" s="37"/>
      <c r="J51" s="37"/>
      <c r="K51" s="37"/>
      <c r="L51" s="37"/>
      <c r="M51" s="37"/>
      <c r="N51" s="37"/>
      <c r="O51" s="6"/>
      <c r="P51" s="6"/>
      <c r="Q51" s="6"/>
      <c r="R51" s="6"/>
      <c r="S51" s="33"/>
      <c r="T51" s="20"/>
      <c r="U51" s="20"/>
      <c r="V51" s="20"/>
    </row>
    <row r="52" spans="1:22" ht="14.25" x14ac:dyDescent="0.2">
      <c r="A52" s="38"/>
      <c r="B52" s="35"/>
      <c r="C52" s="53"/>
      <c r="D52" s="35"/>
      <c r="E52" s="116"/>
      <c r="F52" s="40"/>
      <c r="G52" s="37"/>
      <c r="H52" s="37"/>
      <c r="I52" s="37"/>
      <c r="J52" s="37"/>
      <c r="K52" s="37"/>
      <c r="L52" s="37"/>
      <c r="M52" s="37"/>
      <c r="N52" s="37"/>
      <c r="O52" s="6"/>
      <c r="P52" s="6"/>
      <c r="Q52" s="6"/>
      <c r="R52" s="6"/>
      <c r="S52" s="33"/>
      <c r="T52" s="20"/>
      <c r="U52" s="20"/>
      <c r="V52" s="20"/>
    </row>
    <row r="53" spans="1:22" ht="14.25" x14ac:dyDescent="0.2">
      <c r="A53" s="38"/>
      <c r="B53" s="35"/>
      <c r="C53" s="53"/>
      <c r="D53" s="35"/>
      <c r="E53" s="116"/>
      <c r="F53" s="40"/>
      <c r="G53" s="37"/>
      <c r="H53" s="37"/>
      <c r="I53" s="37"/>
      <c r="J53" s="37"/>
      <c r="K53" s="37"/>
      <c r="L53" s="37"/>
      <c r="M53" s="37"/>
      <c r="N53" s="37"/>
      <c r="O53" s="6"/>
      <c r="P53" s="6"/>
      <c r="Q53" s="6"/>
      <c r="R53" s="6"/>
      <c r="S53" s="33"/>
      <c r="T53" s="20"/>
      <c r="U53" s="20"/>
      <c r="V53" s="20"/>
    </row>
    <row r="54" spans="1:22" ht="14.25" x14ac:dyDescent="0.2">
      <c r="A54" s="38"/>
      <c r="B54" s="35"/>
      <c r="C54" s="53"/>
      <c r="D54" s="35"/>
      <c r="E54" s="116"/>
      <c r="F54" s="40"/>
      <c r="G54" s="37"/>
      <c r="H54" s="37"/>
      <c r="I54" s="37"/>
      <c r="J54" s="37"/>
      <c r="K54" s="37"/>
      <c r="L54" s="37"/>
      <c r="M54" s="37"/>
      <c r="N54" s="37"/>
      <c r="O54" s="6"/>
      <c r="P54" s="6"/>
      <c r="Q54" s="6"/>
      <c r="R54" s="6"/>
      <c r="S54" s="33"/>
      <c r="T54" s="20"/>
      <c r="U54" s="20"/>
      <c r="V54" s="20"/>
    </row>
    <row r="55" spans="1:22" ht="16.5" x14ac:dyDescent="0.25">
      <c r="A55" s="10"/>
      <c r="B55" s="6"/>
      <c r="C55" s="5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6"/>
      <c r="P55" s="6"/>
      <c r="Q55" s="6"/>
      <c r="R55" s="6"/>
      <c r="S55" s="33"/>
      <c r="T55" s="20"/>
      <c r="U55" s="20"/>
      <c r="V55" s="20"/>
    </row>
    <row r="56" spans="1:22" x14ac:dyDescent="0.2">
      <c r="A56" s="20"/>
      <c r="B56" s="20"/>
      <c r="C56" s="5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</sheetData>
  <sheetProtection selectLockedCells="1"/>
  <mergeCells count="12">
    <mergeCell ref="U11:V11"/>
    <mergeCell ref="T13:T14"/>
    <mergeCell ref="C34:N34"/>
    <mergeCell ref="A34:B34"/>
    <mergeCell ref="A9:P9"/>
    <mergeCell ref="A13:A14"/>
    <mergeCell ref="C13:C14"/>
    <mergeCell ref="A31:M32"/>
    <mergeCell ref="A21:G27"/>
    <mergeCell ref="B13:B14"/>
    <mergeCell ref="D13:D14"/>
    <mergeCell ref="K13:K14"/>
  </mergeCells>
  <phoneticPr fontId="2" type="noConversion"/>
  <printOptions horizontalCentered="1"/>
  <pageMargins left="0.53" right="0.46" top="1" bottom="1" header="0.5" footer="0.5"/>
  <pageSetup scale="22" orientation="landscape" r:id="rId1"/>
  <headerFooter alignWithMargins="0">
    <oddFooter xml:space="preserve">&amp;LChevron Nigeria Ltd &amp;CRC 856091, VAT: 04446149-000152 Emekuku Street,D-Line , Port Harcourt, Rivers State, Nigeria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5"/>
  <sheetViews>
    <sheetView tabSelected="1" view="pageBreakPreview" topLeftCell="A23" zoomScale="60" zoomScaleNormal="90" workbookViewId="0">
      <selection activeCell="A27" sqref="A27:H27"/>
    </sheetView>
  </sheetViews>
  <sheetFormatPr defaultRowHeight="12.75" x14ac:dyDescent="0.2"/>
  <cols>
    <col min="1" max="1" width="8.140625" style="89" customWidth="1"/>
    <col min="2" max="2" width="8.5703125" style="89" customWidth="1"/>
    <col min="3" max="3" width="9.85546875" style="89" bestFit="1" customWidth="1"/>
    <col min="4" max="4" width="86.140625" style="89" customWidth="1"/>
    <col min="5" max="5" width="15.7109375" style="89" customWidth="1"/>
    <col min="6" max="6" width="20.28515625" style="89" customWidth="1"/>
    <col min="7" max="7" width="25.5703125" style="89" customWidth="1"/>
    <col min="8" max="8" width="34.7109375" style="89" customWidth="1"/>
    <col min="9" max="16384" width="9.140625" style="89"/>
  </cols>
  <sheetData>
    <row r="1" spans="1:9" ht="14.25" x14ac:dyDescent="0.2">
      <c r="A1" s="88"/>
      <c r="B1" s="88"/>
      <c r="C1" s="88"/>
      <c r="D1" s="88"/>
      <c r="E1" s="88"/>
      <c r="F1" s="88"/>
      <c r="G1" s="88"/>
      <c r="H1" s="88"/>
    </row>
    <row r="2" spans="1:9" ht="14.25" x14ac:dyDescent="0.2">
      <c r="A2" s="88"/>
      <c r="B2" s="88"/>
      <c r="C2" s="88"/>
      <c r="D2" s="88"/>
      <c r="E2" s="88"/>
      <c r="F2" s="88"/>
      <c r="G2" s="88"/>
      <c r="H2" s="88"/>
    </row>
    <row r="3" spans="1:9" ht="14.25" x14ac:dyDescent="0.2">
      <c r="A3" s="88"/>
      <c r="B3" s="88"/>
      <c r="C3" s="88"/>
      <c r="D3" s="88"/>
      <c r="E3" s="88"/>
      <c r="F3" s="88"/>
      <c r="G3" s="88"/>
      <c r="H3" s="88"/>
    </row>
    <row r="4" spans="1:9" ht="14.25" x14ac:dyDescent="0.2">
      <c r="A4" s="88"/>
      <c r="B4" s="88"/>
      <c r="C4" s="88"/>
      <c r="D4" s="88"/>
      <c r="E4" s="88"/>
      <c r="F4" s="88"/>
      <c r="G4" s="88"/>
      <c r="H4" s="88"/>
    </row>
    <row r="5" spans="1:9" ht="14.25" x14ac:dyDescent="0.2">
      <c r="A5" s="88"/>
      <c r="B5" s="88"/>
      <c r="C5" s="88"/>
      <c r="D5" s="88"/>
      <c r="E5" s="88"/>
      <c r="F5" s="88"/>
      <c r="G5" s="88"/>
      <c r="H5" s="88"/>
    </row>
    <row r="6" spans="1:9" ht="14.25" x14ac:dyDescent="0.2">
      <c r="A6" s="88"/>
      <c r="B6" s="88"/>
      <c r="C6" s="88"/>
      <c r="D6" s="88"/>
      <c r="E6" s="88"/>
      <c r="F6" s="88"/>
      <c r="G6" s="88"/>
      <c r="H6" s="88"/>
    </row>
    <row r="7" spans="1:9" ht="14.25" x14ac:dyDescent="0.2">
      <c r="A7" s="88"/>
      <c r="B7" s="88"/>
      <c r="C7" s="88"/>
      <c r="D7" s="88"/>
      <c r="E7" s="88"/>
      <c r="F7" s="88"/>
      <c r="G7" s="88"/>
      <c r="H7" s="88"/>
    </row>
    <row r="8" spans="1:9" s="92" customFormat="1" ht="23.25" x14ac:dyDescent="0.35">
      <c r="A8" s="90"/>
      <c r="B8" s="91"/>
      <c r="C8" s="91"/>
      <c r="E8" s="93"/>
      <c r="F8" s="93"/>
      <c r="H8" s="93"/>
    </row>
    <row r="9" spans="1:9" s="94" customFormat="1" ht="15" x14ac:dyDescent="0.2">
      <c r="E9" s="95"/>
      <c r="F9" s="95"/>
      <c r="G9" s="93"/>
      <c r="H9" s="93"/>
    </row>
    <row r="10" spans="1:9" s="94" customFormat="1" ht="15" x14ac:dyDescent="0.2">
      <c r="E10" s="95"/>
      <c r="F10" s="95"/>
      <c r="G10" s="93"/>
      <c r="H10" s="93"/>
    </row>
    <row r="11" spans="1:9" s="92" customFormat="1" ht="21" x14ac:dyDescent="0.3">
      <c r="A11" s="96" t="s">
        <v>49</v>
      </c>
      <c r="B11" s="96"/>
      <c r="C11" s="96"/>
      <c r="D11" s="97"/>
      <c r="E11" s="87"/>
      <c r="F11" s="98"/>
      <c r="G11" s="138"/>
      <c r="H11" s="138"/>
    </row>
    <row r="12" spans="1:9" s="92" customFormat="1" ht="21" x14ac:dyDescent="0.3">
      <c r="A12" s="137" t="s">
        <v>50</v>
      </c>
      <c r="B12" s="137"/>
      <c r="C12" s="137"/>
      <c r="D12" s="97" t="s">
        <v>72</v>
      </c>
      <c r="E12" s="87"/>
      <c r="F12" s="98"/>
      <c r="G12" s="138"/>
      <c r="H12" s="138"/>
    </row>
    <row r="13" spans="1:9" s="92" customFormat="1" ht="21" x14ac:dyDescent="0.3">
      <c r="A13" s="137" t="s">
        <v>51</v>
      </c>
      <c r="B13" s="137"/>
      <c r="C13" s="137"/>
      <c r="D13" s="97" t="s">
        <v>73</v>
      </c>
      <c r="E13" s="87"/>
      <c r="F13" s="98"/>
      <c r="G13" s="138"/>
      <c r="H13" s="138"/>
    </row>
    <row r="14" spans="1:9" s="92" customFormat="1" ht="21" x14ac:dyDescent="0.3">
      <c r="A14" s="137" t="s">
        <v>59</v>
      </c>
      <c r="B14" s="137"/>
      <c r="C14" s="137"/>
      <c r="D14" s="119">
        <v>6060059393</v>
      </c>
      <c r="E14" s="87"/>
      <c r="F14" s="99"/>
      <c r="G14" s="138"/>
      <c r="H14" s="138"/>
    </row>
    <row r="15" spans="1:9" ht="21" x14ac:dyDescent="0.2">
      <c r="A15" s="139"/>
      <c r="B15" s="139"/>
      <c r="C15" s="139"/>
      <c r="D15" s="100"/>
      <c r="E15" s="88"/>
      <c r="F15" s="140" t="s">
        <v>52</v>
      </c>
      <c r="G15" s="140"/>
      <c r="H15" s="120" t="s">
        <v>74</v>
      </c>
      <c r="I15" s="100"/>
    </row>
    <row r="16" spans="1:9" ht="21" x14ac:dyDescent="0.2">
      <c r="A16" s="139"/>
      <c r="B16" s="139"/>
      <c r="C16" s="139"/>
      <c r="D16" s="115"/>
      <c r="E16" s="88"/>
      <c r="F16" s="140" t="s">
        <v>53</v>
      </c>
      <c r="G16" s="140"/>
      <c r="H16" s="120" t="s">
        <v>75</v>
      </c>
      <c r="I16" s="100"/>
    </row>
    <row r="17" spans="1:8" s="92" customFormat="1" ht="21" customHeight="1" x14ac:dyDescent="0.2">
      <c r="E17" s="93"/>
      <c r="F17" s="93"/>
    </row>
    <row r="18" spans="1:8" s="103" customFormat="1" ht="52.5" customHeight="1" x14ac:dyDescent="0.2">
      <c r="A18" s="102" t="s">
        <v>35</v>
      </c>
      <c r="B18" s="102" t="s">
        <v>2</v>
      </c>
      <c r="C18" s="102" t="s">
        <v>54</v>
      </c>
      <c r="D18" s="102" t="s">
        <v>11</v>
      </c>
      <c r="E18" s="102" t="s">
        <v>34</v>
      </c>
      <c r="F18" s="102" t="s">
        <v>33</v>
      </c>
      <c r="G18" s="102" t="s">
        <v>68</v>
      </c>
      <c r="H18" s="101" t="s">
        <v>69</v>
      </c>
    </row>
    <row r="19" spans="1:8" s="103" customFormat="1" ht="142.5" customHeight="1" x14ac:dyDescent="0.2">
      <c r="A19" s="104">
        <v>1</v>
      </c>
      <c r="B19" s="105">
        <v>4</v>
      </c>
      <c r="C19" s="105" t="s">
        <v>61</v>
      </c>
      <c r="D19" s="45" t="s">
        <v>60</v>
      </c>
      <c r="E19" s="79">
        <f>WORKSHEET!U15</f>
        <v>1728</v>
      </c>
      <c r="F19" s="114">
        <f>E19*B19</f>
        <v>6912</v>
      </c>
      <c r="G19" s="102" t="s">
        <v>67</v>
      </c>
      <c r="H19" s="102" t="s">
        <v>70</v>
      </c>
    </row>
    <row r="20" spans="1:8" s="103" customFormat="1" ht="134.25" customHeight="1" x14ac:dyDescent="0.2">
      <c r="A20" s="104">
        <v>2</v>
      </c>
      <c r="B20" s="105">
        <v>11</v>
      </c>
      <c r="C20" s="105" t="s">
        <v>39</v>
      </c>
      <c r="D20" s="45" t="s">
        <v>62</v>
      </c>
      <c r="E20" s="79">
        <f>WORKSHEET!U16</f>
        <v>314.39999999999998</v>
      </c>
      <c r="F20" s="114">
        <f t="shared" ref="F20:F23" si="0">E20*B20</f>
        <v>3458.3999999999996</v>
      </c>
      <c r="G20" s="102" t="s">
        <v>67</v>
      </c>
      <c r="H20" s="102" t="s">
        <v>70</v>
      </c>
    </row>
    <row r="21" spans="1:8" s="103" customFormat="1" ht="132.75" customHeight="1" x14ac:dyDescent="0.2">
      <c r="A21" s="104">
        <v>3</v>
      </c>
      <c r="B21" s="105">
        <v>31</v>
      </c>
      <c r="C21" s="105" t="s">
        <v>39</v>
      </c>
      <c r="D21" s="45" t="s">
        <v>71</v>
      </c>
      <c r="E21" s="79">
        <f>WORKSHEET!U17</f>
        <v>0</v>
      </c>
      <c r="F21" s="114">
        <f t="shared" si="0"/>
        <v>0</v>
      </c>
      <c r="G21" s="102"/>
      <c r="H21" s="102"/>
    </row>
    <row r="22" spans="1:8" s="103" customFormat="1" ht="134.25" customHeight="1" x14ac:dyDescent="0.2">
      <c r="A22" s="104">
        <v>4</v>
      </c>
      <c r="B22" s="105">
        <v>50</v>
      </c>
      <c r="C22" s="105" t="s">
        <v>39</v>
      </c>
      <c r="D22" s="45" t="s">
        <v>64</v>
      </c>
      <c r="E22" s="79">
        <f>WORKSHEET!U18</f>
        <v>6.3959999999999999</v>
      </c>
      <c r="F22" s="114">
        <f t="shared" si="0"/>
        <v>319.8</v>
      </c>
      <c r="G22" s="102" t="s">
        <v>67</v>
      </c>
      <c r="H22" s="102" t="s">
        <v>70</v>
      </c>
    </row>
    <row r="23" spans="1:8" s="103" customFormat="1" ht="126" x14ac:dyDescent="0.2">
      <c r="A23" s="104">
        <v>5</v>
      </c>
      <c r="B23" s="105">
        <v>4</v>
      </c>
      <c r="C23" s="105" t="s">
        <v>61</v>
      </c>
      <c r="D23" s="45" t="s">
        <v>65</v>
      </c>
      <c r="E23" s="79">
        <f>WORKSHEET!U19</f>
        <v>768.67199999999991</v>
      </c>
      <c r="F23" s="114">
        <f t="shared" si="0"/>
        <v>3074.6879999999996</v>
      </c>
      <c r="G23" s="102" t="s">
        <v>67</v>
      </c>
      <c r="H23" s="102" t="s">
        <v>70</v>
      </c>
    </row>
    <row r="24" spans="1:8" s="103" customFormat="1" ht="30.75" customHeight="1" x14ac:dyDescent="0.2">
      <c r="A24" s="155" t="s">
        <v>55</v>
      </c>
      <c r="B24" s="155"/>
      <c r="C24" s="155"/>
      <c r="D24" s="155"/>
      <c r="E24" s="155"/>
      <c r="F24" s="156">
        <f>SUM(F19:F23)</f>
        <v>13764.887999999999</v>
      </c>
      <c r="G24" s="106"/>
      <c r="H24" s="106"/>
    </row>
    <row r="25" spans="1:8" ht="22.5" customHeight="1" x14ac:dyDescent="0.2">
      <c r="A25" s="88"/>
      <c r="B25" s="88"/>
      <c r="C25" s="88"/>
      <c r="D25" s="88"/>
      <c r="E25" s="88"/>
      <c r="F25" s="88"/>
      <c r="G25" s="88"/>
      <c r="H25" s="88"/>
    </row>
    <row r="26" spans="1:8" ht="23.25" customHeight="1" x14ac:dyDescent="0.2">
      <c r="A26" s="88"/>
      <c r="B26" s="88"/>
      <c r="C26" s="88"/>
      <c r="D26" s="88"/>
      <c r="E26" s="88"/>
      <c r="F26" s="88"/>
      <c r="G26" s="88"/>
      <c r="H26" s="88"/>
    </row>
    <row r="27" spans="1:8" s="107" customFormat="1" ht="409.5" customHeight="1" x14ac:dyDescent="0.2">
      <c r="A27" s="142" t="s">
        <v>76</v>
      </c>
      <c r="B27" s="142"/>
      <c r="C27" s="142"/>
      <c r="D27" s="142"/>
      <c r="E27" s="142"/>
      <c r="F27" s="142"/>
      <c r="G27" s="142"/>
      <c r="H27" s="142"/>
    </row>
    <row r="28" spans="1:8" s="107" customFormat="1" ht="15" x14ac:dyDescent="0.2">
      <c r="A28" s="108"/>
      <c r="B28" s="108"/>
      <c r="C28" s="108"/>
      <c r="D28" s="108"/>
      <c r="E28" s="108"/>
      <c r="F28" s="93"/>
      <c r="G28" s="93"/>
      <c r="H28" s="93"/>
    </row>
    <row r="29" spans="1:8" ht="75.75" customHeight="1" x14ac:dyDescent="0.2">
      <c r="A29" s="141"/>
      <c r="B29" s="141"/>
      <c r="C29" s="109"/>
      <c r="D29" s="88"/>
      <c r="E29" s="88"/>
      <c r="F29" s="88"/>
      <c r="G29" s="88"/>
      <c r="H29" s="88"/>
    </row>
    <row r="30" spans="1:8" ht="18.75" customHeight="1" x14ac:dyDescent="0.2">
      <c r="A30" s="143" t="s">
        <v>56</v>
      </c>
      <c r="B30" s="143"/>
      <c r="C30" s="143"/>
      <c r="D30" s="143"/>
      <c r="G30" s="144"/>
      <c r="H30" s="144"/>
    </row>
    <row r="31" spans="1:8" ht="1.5" hidden="1" customHeight="1" x14ac:dyDescent="0.2"/>
    <row r="32" spans="1:8" s="110" customFormat="1" ht="15" customHeight="1" x14ac:dyDescent="0.2">
      <c r="A32" s="93"/>
      <c r="B32" s="93"/>
      <c r="C32" s="93"/>
      <c r="D32" s="93"/>
      <c r="G32" s="141"/>
      <c r="H32" s="141"/>
    </row>
    <row r="33" spans="1:4" s="112" customFormat="1" ht="15" x14ac:dyDescent="0.2">
      <c r="A33" s="111"/>
      <c r="B33" s="111"/>
      <c r="C33" s="111"/>
      <c r="D33" s="111"/>
    </row>
    <row r="34" spans="1:4" s="110" customFormat="1" ht="15" x14ac:dyDescent="0.2">
      <c r="A34" s="93"/>
      <c r="B34" s="93"/>
      <c r="C34" s="93"/>
      <c r="D34" s="93"/>
    </row>
    <row r="35" spans="1:4" s="92" customFormat="1" ht="15" x14ac:dyDescent="0.2">
      <c r="A35" s="93"/>
      <c r="B35" s="93"/>
      <c r="C35" s="93"/>
      <c r="D35" s="93"/>
    </row>
    <row r="36" spans="1:4" s="92" customFormat="1" ht="6.75" customHeight="1" x14ac:dyDescent="0.2">
      <c r="A36" s="93"/>
      <c r="B36" s="93"/>
      <c r="C36" s="93"/>
      <c r="D36" s="93"/>
    </row>
    <row r="37" spans="1:4" ht="14.25" hidden="1" x14ac:dyDescent="0.2">
      <c r="A37" s="88"/>
      <c r="B37" s="88"/>
      <c r="C37" s="88"/>
      <c r="D37" s="88"/>
    </row>
    <row r="38" spans="1:4" hidden="1" x14ac:dyDescent="0.2"/>
    <row r="39" spans="1:4" hidden="1" x14ac:dyDescent="0.2"/>
    <row r="40" spans="1:4" hidden="1" x14ac:dyDescent="0.2"/>
    <row r="41" spans="1:4" hidden="1" x14ac:dyDescent="0.2"/>
    <row r="42" spans="1:4" hidden="1" x14ac:dyDescent="0.2"/>
    <row r="43" spans="1:4" hidden="1" x14ac:dyDescent="0.2"/>
    <row r="44" spans="1:4" hidden="1" x14ac:dyDescent="0.2"/>
    <row r="45" spans="1:4" s="113" customFormat="1" ht="8.25" hidden="1" x14ac:dyDescent="0.2">
      <c r="A45" s="113" t="s">
        <v>26</v>
      </c>
    </row>
  </sheetData>
  <mergeCells count="17">
    <mergeCell ref="G32:H32"/>
    <mergeCell ref="A27:H27"/>
    <mergeCell ref="A24:E24"/>
    <mergeCell ref="A29:B29"/>
    <mergeCell ref="A30:D30"/>
    <mergeCell ref="G30:H30"/>
    <mergeCell ref="A15:C15"/>
    <mergeCell ref="F15:G15"/>
    <mergeCell ref="A16:C16"/>
    <mergeCell ref="F16:G16"/>
    <mergeCell ref="A14:C14"/>
    <mergeCell ref="G14:H14"/>
    <mergeCell ref="G11:H11"/>
    <mergeCell ref="A12:C12"/>
    <mergeCell ref="G12:H12"/>
    <mergeCell ref="A13:C13"/>
    <mergeCell ref="G13:H13"/>
  </mergeCells>
  <printOptions horizontalCentered="1"/>
  <pageMargins left="0" right="0" top="0.74803149606299213" bottom="0.74803149606299213" header="0.31496062992125984" footer="0.31496062992125984"/>
  <pageSetup paperSize="9" scale="45" orientation="landscape" r:id="rId1"/>
  <headerFooter alignWithMargins="0">
    <oddFooter>&amp;C&amp;K08-02354 EMEKUKU STREET , D-LINE, PORT HARCOURT, RIVERS STATE, NIGERIA. 
TEL:  +234(84)360759. EMAIL:  sales@plantengrg.com. URL:  www.plantengrg.com&amp;R&amp;K08-023&amp;P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4"/>
  <sheetViews>
    <sheetView view="pageBreakPreview" topLeftCell="A9" zoomScale="60" zoomScaleNormal="90" workbookViewId="0">
      <selection activeCell="A9" sqref="A9:XFD28"/>
    </sheetView>
  </sheetViews>
  <sheetFormatPr defaultRowHeight="12.75" x14ac:dyDescent="0.2"/>
  <cols>
    <col min="1" max="1" width="8.42578125" style="56" customWidth="1"/>
    <col min="2" max="3" width="7.140625" style="56" customWidth="1"/>
    <col min="4" max="4" width="56.85546875" style="56" customWidth="1"/>
    <col min="5" max="5" width="23.85546875" style="56" bestFit="1" customWidth="1"/>
    <col min="6" max="6" width="26.42578125" style="56" bestFit="1" customWidth="1"/>
    <col min="7" max="7" width="19.5703125" style="56" customWidth="1"/>
    <col min="8" max="8" width="19.85546875" style="56" customWidth="1"/>
    <col min="9" max="16384" width="9.140625" style="56"/>
  </cols>
  <sheetData>
    <row r="1" spans="1:9" ht="14.25" hidden="1" x14ac:dyDescent="0.2">
      <c r="A1" s="58"/>
      <c r="B1" s="58"/>
      <c r="C1" s="58"/>
      <c r="D1" s="58"/>
      <c r="E1" s="58"/>
      <c r="F1" s="58"/>
      <c r="G1" s="58"/>
      <c r="H1" s="58"/>
      <c r="I1" s="58"/>
    </row>
    <row r="2" spans="1:9" ht="14.25" hidden="1" x14ac:dyDescent="0.2">
      <c r="A2" s="58"/>
      <c r="B2" s="58"/>
      <c r="C2" s="58"/>
      <c r="D2" s="58"/>
      <c r="E2" s="58"/>
      <c r="F2" s="58"/>
      <c r="G2" s="58"/>
      <c r="H2" s="58"/>
      <c r="I2" s="58"/>
    </row>
    <row r="3" spans="1:9" ht="14.25" hidden="1" x14ac:dyDescent="0.2">
      <c r="A3" s="58"/>
      <c r="B3" s="58"/>
      <c r="C3" s="58"/>
      <c r="D3" s="58"/>
      <c r="E3" s="58"/>
      <c r="F3" s="58"/>
      <c r="G3" s="58"/>
      <c r="H3" s="58"/>
      <c r="I3" s="58"/>
    </row>
    <row r="4" spans="1:9" ht="14.25" hidden="1" x14ac:dyDescent="0.2">
      <c r="A4" s="58"/>
      <c r="B4" s="58"/>
      <c r="C4" s="58"/>
      <c r="D4" s="58"/>
      <c r="E4" s="58"/>
      <c r="F4" s="58"/>
      <c r="G4" s="58"/>
      <c r="H4" s="58"/>
      <c r="I4" s="58"/>
    </row>
    <row r="5" spans="1:9" ht="14.25" hidden="1" x14ac:dyDescent="0.2">
      <c r="A5" s="58"/>
      <c r="B5" s="58"/>
      <c r="C5" s="58"/>
      <c r="D5" s="58"/>
      <c r="E5" s="58"/>
      <c r="F5" s="58"/>
      <c r="G5" s="58"/>
      <c r="H5" s="58"/>
      <c r="I5" s="58"/>
    </row>
    <row r="6" spans="1:9" ht="14.25" hidden="1" x14ac:dyDescent="0.2">
      <c r="A6" s="58"/>
      <c r="B6" s="58"/>
      <c r="C6" s="58"/>
      <c r="D6" s="58"/>
      <c r="E6" s="58"/>
      <c r="F6" s="58"/>
      <c r="G6" s="58"/>
      <c r="H6" s="58"/>
      <c r="I6" s="58"/>
    </row>
    <row r="7" spans="1:9" ht="14.25" hidden="1" x14ac:dyDescent="0.2">
      <c r="A7" s="58"/>
      <c r="B7" s="58"/>
      <c r="C7" s="58"/>
      <c r="D7" s="58"/>
      <c r="E7" s="58"/>
      <c r="F7" s="58"/>
      <c r="G7" s="58"/>
      <c r="H7" s="58"/>
      <c r="I7" s="58"/>
    </row>
    <row r="8" spans="1:9" ht="14.25" hidden="1" x14ac:dyDescent="0.2">
      <c r="A8" s="58"/>
      <c r="B8" s="58"/>
      <c r="C8" s="58"/>
      <c r="D8" s="58"/>
      <c r="E8" s="58"/>
      <c r="F8" s="58"/>
      <c r="G8" s="58"/>
      <c r="H8" s="58"/>
      <c r="I8" s="58"/>
    </row>
    <row r="9" spans="1:9" ht="14.25" x14ac:dyDescent="0.2">
      <c r="A9" s="58"/>
      <c r="B9" s="58"/>
      <c r="C9" s="58"/>
      <c r="D9" s="58"/>
      <c r="E9" s="58"/>
      <c r="F9" s="58"/>
      <c r="G9" s="58"/>
      <c r="H9" s="58"/>
      <c r="I9" s="58"/>
    </row>
    <row r="10" spans="1:9" ht="14.25" x14ac:dyDescent="0.2">
      <c r="A10" s="58"/>
      <c r="B10" s="58"/>
      <c r="C10" s="58"/>
      <c r="D10" s="58"/>
      <c r="E10" s="58"/>
      <c r="F10" s="58"/>
      <c r="G10" s="58"/>
      <c r="H10" s="58"/>
      <c r="I10" s="58"/>
    </row>
    <row r="11" spans="1:9" ht="14.25" x14ac:dyDescent="0.2">
      <c r="A11" s="58"/>
      <c r="B11" s="58"/>
      <c r="C11" s="58"/>
      <c r="D11" s="58"/>
      <c r="E11" s="58"/>
      <c r="F11" s="58"/>
      <c r="G11" s="58"/>
      <c r="H11" s="58"/>
      <c r="I11" s="58"/>
    </row>
    <row r="12" spans="1:9" ht="14.25" x14ac:dyDescent="0.2">
      <c r="A12" s="58"/>
      <c r="B12" s="58"/>
      <c r="C12" s="58"/>
      <c r="D12" s="58"/>
      <c r="E12" s="58"/>
      <c r="F12" s="58"/>
      <c r="G12" s="58"/>
      <c r="H12" s="58"/>
      <c r="I12" s="58"/>
    </row>
    <row r="13" spans="1:9" ht="14.25" x14ac:dyDescent="0.2">
      <c r="A13" s="58"/>
      <c r="B13" s="58"/>
      <c r="C13" s="58"/>
      <c r="D13" s="58"/>
      <c r="E13" s="58"/>
      <c r="F13" s="58"/>
      <c r="G13" s="58"/>
      <c r="H13" s="58"/>
      <c r="I13" s="58"/>
    </row>
    <row r="14" spans="1:9" ht="14.25" x14ac:dyDescent="0.2">
      <c r="A14" s="58"/>
      <c r="B14" s="58"/>
      <c r="C14" s="58"/>
      <c r="D14" s="58"/>
      <c r="E14" s="58"/>
      <c r="F14" s="58"/>
      <c r="G14" s="58"/>
      <c r="H14" s="58"/>
      <c r="I14" s="58"/>
    </row>
    <row r="15" spans="1:9" ht="14.25" x14ac:dyDescent="0.2">
      <c r="A15" s="58"/>
      <c r="B15" s="58"/>
      <c r="C15" s="58"/>
      <c r="D15" s="58"/>
      <c r="E15" s="58"/>
      <c r="F15" s="58"/>
      <c r="G15" s="58"/>
      <c r="H15" s="58"/>
      <c r="I15" s="58"/>
    </row>
    <row r="16" spans="1:9" ht="14.25" x14ac:dyDescent="0.2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14.25" x14ac:dyDescent="0.2">
      <c r="A17" s="58"/>
      <c r="B17" s="58"/>
      <c r="C17" s="58"/>
      <c r="D17" s="58"/>
      <c r="E17" s="58"/>
      <c r="F17" s="58"/>
      <c r="G17" s="58"/>
      <c r="H17" s="58"/>
      <c r="I17" s="58"/>
    </row>
    <row r="18" spans="1:9" s="59" customFormat="1" ht="15" x14ac:dyDescent="0.2">
      <c r="A18" s="73" t="s">
        <v>24</v>
      </c>
      <c r="B18" s="74"/>
      <c r="C18" s="74"/>
      <c r="D18" s="73"/>
      <c r="E18" s="73"/>
      <c r="F18" s="73"/>
      <c r="G18" s="60"/>
      <c r="H18" s="60"/>
      <c r="I18" s="60"/>
    </row>
    <row r="19" spans="1:9" s="59" customFormat="1" ht="15" x14ac:dyDescent="0.2">
      <c r="A19" s="73" t="s">
        <v>6</v>
      </c>
      <c r="B19" s="74"/>
      <c r="C19" s="74"/>
      <c r="D19" s="73"/>
      <c r="E19" s="73"/>
      <c r="F19" s="73"/>
      <c r="G19" s="60"/>
      <c r="H19" s="60"/>
      <c r="I19" s="60"/>
    </row>
    <row r="20" spans="1:9" s="59" customFormat="1" ht="15" x14ac:dyDescent="0.2">
      <c r="A20" s="73" t="s">
        <v>7</v>
      </c>
      <c r="B20" s="74"/>
      <c r="C20" s="74"/>
      <c r="D20" s="73"/>
      <c r="E20" s="73"/>
      <c r="F20" s="73"/>
      <c r="G20" s="60"/>
      <c r="H20" s="60"/>
      <c r="I20" s="60"/>
    </row>
    <row r="21" spans="1:9" s="59" customFormat="1" ht="15" x14ac:dyDescent="0.2">
      <c r="A21" s="148" t="s">
        <v>46</v>
      </c>
      <c r="B21" s="148"/>
      <c r="C21" s="148"/>
      <c r="D21" s="148"/>
      <c r="E21" s="148"/>
      <c r="F21" s="148"/>
      <c r="G21" s="60"/>
      <c r="H21" s="60"/>
      <c r="I21" s="60"/>
    </row>
    <row r="22" spans="1:9" s="59" customFormat="1" ht="15" x14ac:dyDescent="0.2">
      <c r="A22" s="75" t="s">
        <v>41</v>
      </c>
      <c r="B22" s="74"/>
      <c r="C22" s="74"/>
      <c r="D22" s="73"/>
      <c r="E22" s="73"/>
      <c r="F22" s="73"/>
      <c r="G22" s="60"/>
      <c r="H22" s="60"/>
      <c r="I22" s="60"/>
    </row>
    <row r="23" spans="1:9" ht="15" x14ac:dyDescent="0.2">
      <c r="A23" s="58"/>
      <c r="B23" s="58"/>
      <c r="C23" s="58"/>
      <c r="D23" s="58"/>
      <c r="E23" s="58"/>
      <c r="F23" s="58"/>
      <c r="G23" s="147" t="s">
        <v>37</v>
      </c>
      <c r="H23" s="147"/>
      <c r="I23" s="60"/>
    </row>
    <row r="24" spans="1:9" s="59" customFormat="1" ht="15" x14ac:dyDescent="0.2">
      <c r="A24" s="60" t="s">
        <v>43</v>
      </c>
      <c r="B24" s="60"/>
      <c r="C24" s="60"/>
      <c r="D24" s="60"/>
      <c r="E24" s="60"/>
      <c r="F24" s="60"/>
      <c r="G24" s="60"/>
      <c r="H24" s="84" t="s">
        <v>44</v>
      </c>
      <c r="I24" s="60"/>
    </row>
    <row r="25" spans="1:9" s="59" customFormat="1" ht="15" x14ac:dyDescent="0.2">
      <c r="A25" s="60" t="s">
        <v>36</v>
      </c>
      <c r="B25" s="60"/>
      <c r="C25" s="60"/>
      <c r="D25" s="60"/>
      <c r="E25" s="60"/>
      <c r="F25" s="60"/>
      <c r="G25" s="60"/>
      <c r="H25" s="60"/>
      <c r="I25" s="60"/>
    </row>
    <row r="26" spans="1:9" s="59" customFormat="1" ht="15" x14ac:dyDescent="0.2">
      <c r="A26" s="60" t="s">
        <v>45</v>
      </c>
      <c r="B26" s="60"/>
      <c r="C26" s="60"/>
      <c r="D26" s="60"/>
      <c r="E26" s="60"/>
      <c r="F26" s="60"/>
      <c r="G26" s="60"/>
      <c r="H26" s="60"/>
      <c r="I26" s="60"/>
    </row>
    <row r="27" spans="1:9" ht="14.25" x14ac:dyDescent="0.2">
      <c r="A27" s="58"/>
      <c r="B27" s="58"/>
      <c r="C27" s="58"/>
      <c r="D27" s="58"/>
      <c r="E27" s="58"/>
      <c r="F27" s="58"/>
      <c r="G27" s="58"/>
      <c r="H27" s="58"/>
      <c r="I27" s="58"/>
    </row>
    <row r="28" spans="1:9" s="68" customFormat="1" ht="52.5" customHeight="1" x14ac:dyDescent="0.2">
      <c r="A28" s="72" t="s">
        <v>35</v>
      </c>
      <c r="B28" s="71" t="s">
        <v>2</v>
      </c>
      <c r="C28" s="71"/>
      <c r="D28" s="71" t="s">
        <v>11</v>
      </c>
      <c r="E28" s="71" t="s">
        <v>34</v>
      </c>
      <c r="F28" s="71" t="s">
        <v>33</v>
      </c>
      <c r="G28" s="71" t="s">
        <v>32</v>
      </c>
      <c r="H28" s="72" t="s">
        <v>31</v>
      </c>
      <c r="I28" s="69"/>
    </row>
    <row r="29" spans="1:9" s="68" customFormat="1" ht="198" x14ac:dyDescent="0.2">
      <c r="A29" s="71">
        <v>1</v>
      </c>
      <c r="B29" s="71">
        <v>5</v>
      </c>
      <c r="C29" s="71" t="s">
        <v>39</v>
      </c>
      <c r="D29" s="45" t="s">
        <v>42</v>
      </c>
      <c r="E29" s="83" t="e">
        <f>WORKSHEET!#REF!</f>
        <v>#REF!</v>
      </c>
      <c r="F29" s="83" t="e">
        <f>E29*B29</f>
        <v>#REF!</v>
      </c>
      <c r="G29" s="71" t="s">
        <v>48</v>
      </c>
      <c r="H29" s="71" t="s">
        <v>47</v>
      </c>
      <c r="I29" s="69"/>
    </row>
    <row r="30" spans="1:9" s="68" customFormat="1" ht="21.75" customHeight="1" x14ac:dyDescent="0.2">
      <c r="A30" s="152" t="s">
        <v>30</v>
      </c>
      <c r="B30" s="153"/>
      <c r="C30" s="153"/>
      <c r="D30" s="153"/>
      <c r="E30" s="154"/>
      <c r="F30" s="80" t="e">
        <f>SUM(F29:F29)</f>
        <v>#REF!</v>
      </c>
      <c r="G30" s="70"/>
      <c r="H30" s="70"/>
      <c r="I30" s="69"/>
    </row>
    <row r="31" spans="1:9" s="68" customFormat="1" ht="21.75" customHeight="1" x14ac:dyDescent="0.2">
      <c r="A31" s="151" t="s">
        <v>29</v>
      </c>
      <c r="B31" s="151"/>
      <c r="C31" s="151"/>
      <c r="D31" s="151"/>
      <c r="E31" s="151"/>
      <c r="F31" s="81" t="e">
        <f>F30*0.05</f>
        <v>#REF!</v>
      </c>
      <c r="G31" s="70"/>
      <c r="H31" s="70"/>
      <c r="I31" s="69"/>
    </row>
    <row r="32" spans="1:9" ht="21.75" customHeight="1" x14ac:dyDescent="0.2">
      <c r="A32" s="150" t="s">
        <v>28</v>
      </c>
      <c r="B32" s="150"/>
      <c r="C32" s="150"/>
      <c r="D32" s="150"/>
      <c r="E32" s="150"/>
      <c r="F32" s="82" t="e">
        <f>F30+F31</f>
        <v>#REF!</v>
      </c>
      <c r="G32" s="58"/>
      <c r="H32" s="58"/>
      <c r="I32" s="58"/>
    </row>
    <row r="33" spans="1:9" ht="14.25" hidden="1" x14ac:dyDescent="0.2">
      <c r="A33" s="58"/>
      <c r="B33" s="58"/>
      <c r="C33" s="58"/>
      <c r="D33" s="58"/>
      <c r="E33" s="58"/>
      <c r="F33" s="58"/>
      <c r="G33" s="58"/>
      <c r="H33" s="58"/>
      <c r="I33" s="58"/>
    </row>
    <row r="34" spans="1:9" s="66" customFormat="1" ht="15" hidden="1" x14ac:dyDescent="0.2">
      <c r="A34" s="67"/>
      <c r="B34" s="67"/>
      <c r="C34" s="67"/>
      <c r="D34" s="67"/>
      <c r="E34" s="67"/>
      <c r="F34" s="67"/>
      <c r="G34" s="67"/>
      <c r="H34" s="67"/>
      <c r="I34" s="67"/>
    </row>
    <row r="35" spans="1:9" s="64" customFormat="1" ht="15" hidden="1" x14ac:dyDescent="0.2">
      <c r="A35" s="60"/>
      <c r="B35" s="60"/>
      <c r="C35" s="60"/>
      <c r="D35" s="60"/>
      <c r="E35" s="60"/>
      <c r="F35" s="60"/>
      <c r="G35" s="60"/>
      <c r="H35" s="60"/>
      <c r="I35" s="60"/>
    </row>
    <row r="36" spans="1:9" ht="14.25" x14ac:dyDescent="0.2">
      <c r="A36" s="58"/>
      <c r="B36" s="58"/>
      <c r="C36" s="58"/>
      <c r="D36" s="58"/>
      <c r="E36" s="58"/>
      <c r="F36" s="58"/>
      <c r="G36" s="58"/>
      <c r="H36" s="58"/>
      <c r="I36" s="58"/>
    </row>
    <row r="37" spans="1:9" s="64" customFormat="1" ht="15" x14ac:dyDescent="0.2">
      <c r="A37" s="65" t="s">
        <v>27</v>
      </c>
      <c r="B37" s="65"/>
      <c r="C37" s="65"/>
      <c r="D37" s="65"/>
      <c r="E37" s="65"/>
      <c r="F37" s="60"/>
      <c r="G37" s="60"/>
      <c r="H37" s="60"/>
      <c r="I37" s="60"/>
    </row>
    <row r="38" spans="1:9" ht="107.25" customHeight="1" x14ac:dyDescent="0.2">
      <c r="A38" s="146"/>
      <c r="B38" s="146"/>
      <c r="C38" s="86"/>
      <c r="D38" s="58"/>
      <c r="E38" s="58"/>
      <c r="F38" s="58"/>
      <c r="G38" s="58"/>
      <c r="H38" s="58"/>
      <c r="I38" s="58"/>
    </row>
    <row r="39" spans="1:9" ht="18.75" customHeight="1" x14ac:dyDescent="0.2">
      <c r="A39" s="149" t="s">
        <v>38</v>
      </c>
      <c r="B39" s="149"/>
      <c r="C39" s="149"/>
      <c r="D39" s="149"/>
      <c r="G39" s="145"/>
      <c r="H39" s="145"/>
    </row>
    <row r="40" spans="1:9" ht="1.5" hidden="1" customHeight="1" x14ac:dyDescent="0.2"/>
    <row r="41" spans="1:9" s="61" customFormat="1" ht="15" customHeight="1" x14ac:dyDescent="0.2">
      <c r="A41" s="60"/>
      <c r="B41" s="60"/>
      <c r="C41" s="60"/>
      <c r="D41" s="60"/>
      <c r="G41" s="146"/>
      <c r="H41" s="146"/>
    </row>
    <row r="42" spans="1:9" s="62" customFormat="1" ht="15" x14ac:dyDescent="0.2">
      <c r="A42" s="63"/>
      <c r="B42" s="63"/>
      <c r="C42" s="85"/>
      <c r="D42" s="63"/>
    </row>
    <row r="43" spans="1:9" s="61" customFormat="1" ht="15" x14ac:dyDescent="0.2">
      <c r="A43" s="60"/>
      <c r="B43" s="60"/>
      <c r="C43" s="60"/>
      <c r="D43" s="60"/>
    </row>
    <row r="44" spans="1:9" s="59" customFormat="1" ht="15" x14ac:dyDescent="0.2">
      <c r="A44" s="60"/>
      <c r="B44" s="60"/>
      <c r="C44" s="60"/>
      <c r="D44" s="60"/>
    </row>
    <row r="45" spans="1:9" s="59" customFormat="1" ht="6.75" customHeight="1" x14ac:dyDescent="0.2">
      <c r="A45" s="60"/>
      <c r="B45" s="60"/>
      <c r="C45" s="60"/>
      <c r="D45" s="60"/>
    </row>
    <row r="46" spans="1:9" ht="14.25" hidden="1" x14ac:dyDescent="0.2">
      <c r="A46" s="58"/>
      <c r="B46" s="58"/>
      <c r="C46" s="58"/>
      <c r="D46" s="58"/>
    </row>
    <row r="47" spans="1:9" hidden="1" x14ac:dyDescent="0.2"/>
    <row r="48" spans="1:9" hidden="1" x14ac:dyDescent="0.2"/>
    <row r="49" spans="1:1" hidden="1" x14ac:dyDescent="0.2"/>
    <row r="50" spans="1:1" hidden="1" x14ac:dyDescent="0.2"/>
    <row r="51" spans="1:1" hidden="1" x14ac:dyDescent="0.2"/>
    <row r="52" spans="1:1" hidden="1" x14ac:dyDescent="0.2"/>
    <row r="53" spans="1:1" hidden="1" x14ac:dyDescent="0.2"/>
    <row r="54" spans="1:1" s="57" customFormat="1" ht="8.25" hidden="1" x14ac:dyDescent="0.2">
      <c r="A54" s="57" t="s">
        <v>26</v>
      </c>
    </row>
  </sheetData>
  <mergeCells count="9">
    <mergeCell ref="G39:H39"/>
    <mergeCell ref="G41:H41"/>
    <mergeCell ref="G23:H23"/>
    <mergeCell ref="A21:F21"/>
    <mergeCell ref="A38:B38"/>
    <mergeCell ref="A39:D39"/>
    <mergeCell ref="A32:E32"/>
    <mergeCell ref="A31:E31"/>
    <mergeCell ref="A30:E30"/>
  </mergeCells>
  <hyperlinks>
    <hyperlink ref="A21" r:id="rId1" display="mailto:daere@avscohoustonnigeria.com"/>
    <hyperlink ref="A22" r:id="rId2" display="http://www.avscohoustonnigeria.com/"/>
  </hyperlinks>
  <printOptions horizontalCentered="1"/>
  <pageMargins left="0" right="0.95" top="0.75" bottom="0.75" header="0.55000000000000004" footer="0.3"/>
  <pageSetup scale="65" fitToHeight="0" orientation="landscape" r:id="rId3"/>
  <headerFooter alignWithMargins="0">
    <oddHeader>&amp;R&amp;G</oddHeader>
    <oddFooter>Page &amp;P of &amp;N</oddFooter>
  </headerFooter>
  <drawing r:id="rId4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WORKSHEET</vt:lpstr>
      <vt:lpstr>SUBMISSION SHEET</vt:lpstr>
      <vt:lpstr>Sheet1 (2)</vt:lpstr>
      <vt:lpstr>Sheet2</vt:lpstr>
      <vt:lpstr>Sheet3</vt:lpstr>
      <vt:lpstr>'Sheet1 (2)'!Print_Area</vt:lpstr>
      <vt:lpstr>'SUBMISSION SHEET'!Print_Area</vt:lpstr>
      <vt:lpstr>WORKSHEET!Print_Area</vt:lpstr>
      <vt:lpstr>'Sheet1 (2)'!Print_Titles</vt:lpstr>
      <vt:lpstr>'SUBMISSION SHEET'!Print_Titles</vt:lpstr>
    </vt:vector>
  </TitlesOfParts>
  <Company>Avsco Houston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George</dc:creator>
  <cp:lastModifiedBy>Daisy</cp:lastModifiedBy>
  <cp:lastPrinted>2015-12-21T10:43:04Z</cp:lastPrinted>
  <dcterms:created xsi:type="dcterms:W3CDTF">2010-12-16T00:14:15Z</dcterms:created>
  <dcterms:modified xsi:type="dcterms:W3CDTF">2015-12-23T15:39:29Z</dcterms:modified>
</cp:coreProperties>
</file>